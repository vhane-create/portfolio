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874d636dd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f0650848774da1"/>
    <x:sheet xmlns:r="http://schemas.openxmlformats.org/officeDocument/2006/relationships" name="Assumptions" sheetId="2" r:id="Rf584c11e94e2467b"/>
    <x:sheet xmlns:r="http://schemas.openxmlformats.org/officeDocument/2006/relationships" name="Revenue" sheetId="3" r:id="R2fe7cacb93394736"/>
    <x:sheet xmlns:r="http://schemas.openxmlformats.org/officeDocument/2006/relationships" name="Operating" sheetId="4" r:id="R51bf2ca9e38246f7"/>
    <x:sheet xmlns:r="http://schemas.openxmlformats.org/officeDocument/2006/relationships" name="Cohorts" sheetId="5" r:id="R0d93e5497c484be6"/>
    <x:sheet xmlns:r="http://schemas.openxmlformats.org/officeDocument/2006/relationships" name="Checks" sheetId="6" r:id="R2686bc1b348b4c28"/>
    <x:sheet xmlns:r="http://schemas.openxmlformats.org/officeDocument/2006/relationships" name="Guide" sheetId="7" r:id="R13505ba7b54c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-yy"/>
    <x:numFmt numFmtId="201" formatCode="#,##0;(#,##0);&quot;–&quot;"/>
    <x:numFmt numFmtId="202" formatCode="$#,##0;($#,##0);&quot;–&quot;"/>
    <x:numFmt numFmtId="203" formatCode="0.0%;(0.0%);&quot;–&quot;"/>
    <x:numFmt numFmtId="204" formatCode="0.0;(0.0);&quot;–&quot;"/>
    <x:numFmt numFmtId="205" formatCode="0.00;(0.00);0.00"/>
    <x:numFmt numFmtId="206" formatCode="0.00%"/>
  </x:numFmts>
  <x:fonts count="15">
    <x:font>
      <x:sz val="11"/>
      <x:name val="Carlito"/>
    </x:font>
    <x:font>
      <x:sz val="10"/>
      <x:color rgb="FF14263F"/>
      <x:name val="Arial"/>
    </x:font>
    <x:font>
      <x:b/>
      <x:sz val="16"/>
      <x:color rgb="FF14263F"/>
      <x:name val="Arial"/>
    </x:font>
    <x:font>
      <x:i/>
      <x:sz val="10"/>
      <x:color rgb="FF596779"/>
      <x:name val="Arial"/>
    </x:font>
    <x:font>
      <x:sz val="10"/>
      <x:color rgb="FF00804A"/>
      <x:name val="Arial"/>
    </x:font>
    <x:font>
      <x:sz val="10"/>
      <x:color rgb="FFFFFFFF"/>
      <x:name val="Arial"/>
    </x:font>
    <x:font>
      <x:sz val="10"/>
      <x:color rgb="FF111111"/>
      <x:name val="Arial"/>
    </x:font>
    <x:font>
      <x:b/>
      <x:sz val="10"/>
      <x:color rgb="FF14263F"/>
      <x:name val="Arial"/>
    </x:font>
    <x:font>
      <x:b/>
      <x:sz val="10"/>
      <x:color rgb="FF111111"/>
      <x:name val="Arial"/>
    </x:font>
    <x:font>
      <x:sz val="10"/>
      <x:color rgb="FF245EA8"/>
      <x:name val="Arial"/>
    </x:font>
    <x:font>
      <x:b/>
      <x:sz val="10"/>
      <x:color rgb="FFFFFFFF"/>
      <x:name val="Arial"/>
    </x:font>
    <x:font>
      <x:b/>
      <x:sz val="10"/>
      <x:color rgb="FF00804A"/>
      <x:name val="Arial"/>
    </x:font>
    <x:font>
      <x:i/>
      <x:sz val="10"/>
      <x:color rgb="FF14263F"/>
      <x:name val="Arial"/>
    </x:font>
    <x:font>
      <x:i/>
      <x:sz val="10"/>
      <x:color rgb="FF00804A"/>
      <x:name val="Arial"/>
    </x:font>
    <x:font>
      <x:i/>
      <x:sz val="10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63F"/>
      </x:patternFill>
    </x:fill>
    <x:fill>
      <x:patternFill patternType="solid">
        <x:fgColor rgb="FFEEF3F9"/>
      </x:patternFill>
    </x:fill>
    <x:fill>
      <x:patternFill patternType="solid">
        <x:fgColor rgb="FFFFF4DA"/>
      </x:patternFill>
    </x:fill>
  </x:fills>
  <x:borders count="4">
    <x:border>
      <x:left/>
      <x:right/>
      <x:top/>
      <x:bottom/>
      <x:diagonal/>
    </x:border>
    <x:border>
      <x:left style="dashed">
        <x:color rgb="FF9AAAC0"/>
      </x:left>
      <x:right/>
      <x:top style="dashed">
        <x:color rgb="FF9AAAC0"/>
      </x:top>
      <x:bottom style="dashed">
        <x:color rgb="FF9AAAC0"/>
      </x:bottom>
      <x:diagonal/>
    </x:border>
    <x:border>
      <x:left/>
      <x:right style="dashed">
        <x:color rgb="FF9AAAC0"/>
      </x:right>
      <x:top style="dashed">
        <x:color rgb="FF9AAAC0"/>
      </x:top>
      <x:bottom style="dashed">
        <x:color rgb="FF9AAAC0"/>
      </x:bottom>
      <x:diagonal/>
    </x:border>
    <x:border>
      <x:left/>
      <x:right/>
      <x:top style="thin">
        <x:color rgb="FFA9B8C9"/>
      </x:top>
      <x:bottom/>
      <x:diagonal/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6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7" fillId="3" borderId="3" xfId="0" applyNumberFormat="1" applyFont="1" applyFill="1" applyBorder="1"/>
    <x:xf numFmtId="202" fontId="7" fillId="3" borderId="3" xfId="0" applyNumberFormat="1" applyFont="1" applyFill="1" applyBorder="1"/>
    <x:xf numFmtId="202" fontId="8" fillId="3" borderId="3" xfId="0" applyNumberFormat="1" applyFont="1" applyFill="1" applyBorder="1"/>
    <x:xf numFmtId="202" fontId="9" fillId="0" borderId="0" xfId="0" applyNumberFormat="1" applyFont="1" applyFill="1" applyBorder="1"/>
    <x:xf numFmtId="202" fontId="9" fillId="4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7" fillId="3" borderId="0" xfId="0" applyNumberFormat="1" applyFont="1" applyFill="1" applyBorder="1"/>
    <x:xf numFmtId="203" fontId="7" fillId="3" borderId="3" xfId="0" applyNumberFormat="1" applyFont="1" applyFill="1" applyBorder="1"/>
    <x:xf numFmtId="203" fontId="8" fillId="3" borderId="3" xfId="0" applyNumberFormat="1" applyFont="1" applyFill="1" applyBorder="1"/>
    <x:xf numFmtId="203" fontId="9" fillId="0" borderId="0" xfId="0" applyNumberFormat="1" applyFont="1" applyFill="1" applyBorder="1"/>
    <x:xf numFmtId="203" fontId="9" fillId="4" borderId="0" xfId="0" applyNumberFormat="1" applyFont="1" applyFill="1" applyBorder="1"/>
    <x:xf numFmtId="0" fontId="1" fillId="4" borderId="0" xfId="0" applyNumberFormat="1" applyFont="1" applyFill="1" applyBorder="1"/>
    <x:xf numFmtId="0" fontId="9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201" fontId="9" fillId="4" borderId="0" xfId="0" applyNumberFormat="1" applyFont="1" applyFill="1" applyBorder="1"/>
    <x:xf numFmtId="204" fontId="1" fillId="0" borderId="0" xfId="0" applyNumberFormat="1" applyFont="1" applyFill="1" applyBorder="1"/>
    <x:xf numFmtId="204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6" fillId="0" borderId="0" xfId="0" applyNumberFormat="1" applyFont="1" applyFill="1" applyBorder="1"/>
    <x:xf numFmtId="203" fontId="4" fillId="0" borderId="0" xfId="0" applyNumberFormat="1" applyFont="1" applyFill="1" applyBorder="1"/>
    <x:xf numFmtId="204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3" borderId="0" xfId="0" applyNumberFormat="1" applyFont="1" applyFill="1" applyBorder="1"/>
    <x:xf numFmtId="204" fontId="8" fillId="3" borderId="0" xfId="0" applyNumberFormat="1" applyFont="1" applyFill="1" applyBorder="1"/>
    <x:xf numFmtId="204" fontId="8" fillId="3" borderId="3" xfId="0" applyNumberFormat="1" applyFont="1" applyFill="1" applyBorder="1"/>
    <x:xf numFmtId="202" fontId="6" fillId="3" borderId="0" xfId="0" applyNumberFormat="1" applyFont="1" applyFill="1" applyBorder="1"/>
    <x:xf numFmtId="202" fontId="8" fillId="3" borderId="0" xfId="0" applyNumberFormat="1" applyFont="1" applyFill="1" applyBorder="1"/>
    <x:xf numFmtId="205" fontId="4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0" fontId="10" fillId="2" borderId="0" xfId="0" applyNumberFormat="1" applyFont="1" applyFill="1" applyBorder="1"/>
    <x:xf numFmtId="202" fontId="4" fillId="3" borderId="0" xfId="0" applyNumberFormat="1" applyFont="1" applyFill="1" applyBorder="1"/>
    <x:xf numFmtId="202" fontId="11" fillId="3" borderId="0" xfId="0" applyNumberFormat="1" applyFont="1" applyFill="1" applyBorder="1"/>
    <x:xf numFmtId="0" fontId="7" fillId="2" borderId="0" xfId="0" applyNumberFormat="1" applyFont="1" applyFill="1" applyBorder="1"/>
    <x:xf numFmtId="0" fontId="12" fillId="0" borderId="0" xfId="0" applyNumberFormat="1" applyFont="1" applyFill="1" applyBorder="1"/>
    <x:xf numFmtId="203" fontId="13" fillId="0" borderId="0" xfId="0" applyNumberFormat="1" applyFont="1" applyFill="1" applyBorder="1"/>
    <x:xf numFmtId="203" fontId="14" fillId="0" borderId="0" xfId="0" applyNumberFormat="1" applyFont="1" applyFill="1" applyBorder="1"/>
    <x:xf numFmtId="204" fontId="14" fillId="0" borderId="0" xfId="0" applyNumberFormat="1" applyFont="1" applyFill="1" applyBorder="1"/>
    <x:xf numFmtId="204" fontId="13" fillId="0" borderId="0" xfId="0" applyNumberFormat="1" applyFont="1" applyFill="1" applyBorder="1"/>
    <x:xf numFmtId="203" fontId="12" fillId="0" borderId="0" xfId="0" applyNumberFormat="1" applyFont="1" applyFill="1" applyBorder="1"/>
    <x:xf numFmtId="206" fontId="14" fillId="0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12020"/>
      </x:font>
      <x:fill>
        <x:patternFill patternType="solid">
          <x:bgColor rgb="FFFCE4E4"/>
        </x:patternFill>
      </x:fill>
    </x:dxf>
    <x:dxf>
      <x:font>
        <x:b/>
        <x:color rgb="FFA12020"/>
      </x:font>
      <x:fill>
        <x:patternFill patternType="solid">
          <x:bgColor rgb="FFFCE4E4"/>
        </x:patternFill>
      </x:fill>
    </x:dxf>
    <x:dxf>
      <x:font>
        <x:b/>
        <x:color rgb="FFA12020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686c0e2424359" /><Relationship Type="http://schemas.openxmlformats.org/officeDocument/2006/relationships/theme" Target="/xl/theme/theme1.xml" Id="R56604bd19a434fd5" /><Relationship Type="http://schemas.openxmlformats.org/officeDocument/2006/relationships/sharedStrings" Target="/xl/sharedStrings.xml" Id="R7b8d3bda2f4b4b70" /><Relationship Type="http://schemas.openxmlformats.org/officeDocument/2006/relationships/worksheet" Target="/xl/worksheets/sheet1.xml" Id="R8df0650848774da1" /><Relationship Type="http://schemas.openxmlformats.org/officeDocument/2006/relationships/worksheet" Target="/xl/worksheets/sheet2.xml" Id="Rf584c11e94e2467b" /><Relationship Type="http://schemas.openxmlformats.org/officeDocument/2006/relationships/worksheet" Target="/xl/worksheets/sheet3.xml" Id="R2fe7cacb93394736" /><Relationship Type="http://schemas.openxmlformats.org/officeDocument/2006/relationships/worksheet" Target="/xl/worksheets/sheet4.xml" Id="R51bf2ca9e38246f7" /><Relationship Type="http://schemas.openxmlformats.org/officeDocument/2006/relationships/worksheet" Target="/xl/worksheets/sheet5.xml" Id="R0d93e5497c484be6" /><Relationship Type="http://schemas.openxmlformats.org/officeDocument/2006/relationships/worksheet" Target="/xl/worksheets/sheet6.xml" Id="R2686bc1b348b4c28" /><Relationship Type="http://schemas.openxmlformats.org/officeDocument/2006/relationships/worksheet" Target="/xl/worksheets/sheet7.xml" Id="R13505ba7b54c4b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9e2a1db6da4b25" /><Relationship Type="http://schemas.openxmlformats.org/officeDocument/2006/relationships/chart" Target="/xl/drawings/charts/chart2.xml" Id="R726e854008984a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Ending ARR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Ending ARR</c:v>
          </c:tx>
          <c:spPr>
            <a:solidFill xmlns:a="http://schemas.openxmlformats.org/drawingml/2006/main">
              <a:srgbClr val="426B9B"/>
            </a:solidFill>
            <a:ln xmlns:a="http://schemas.openxmlformats.org/drawingml/2006/main" w="19050">
              <a:solidFill>
                <a:srgbClr val="426B9B"/>
              </a:solidFill>
              <a:prstDash val="solid"/>
            </a:ln>
          </c:spPr>
          <c:marker>
            <c:symbol val="none"/>
          </c:marker>
          <c:cat>
            <c:strRef>
              <c:f>'Dashboard'!$C$25:$C$48</c:f>
              <c:strCache>
                <c:ptCount val="0"/>
              </c:strCache>
            </c:strRef>
          </c:cat>
          <c:val>
            <c:numRef>
              <c:f>'Dashboard'!$E$25:$E$48</c:f>
              <c:numCache>
                <c:formatCode>$#,##0;($#,##0);"–"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Ending cash ($K)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Ending cash</c:v>
          </c:tx>
          <c:spPr>
            <a:solidFill xmlns:a="http://schemas.openxmlformats.org/drawingml/2006/main">
              <a:srgbClr val="876D4A"/>
            </a:solidFill>
            <a:ln xmlns:a="http://schemas.openxmlformats.org/drawingml/2006/main" w="19050">
              <a:solidFill>
                <a:srgbClr val="876D4A"/>
              </a:solidFill>
              <a:prstDash val="solid"/>
            </a:ln>
          </c:spPr>
          <c:marker>
            <c:symbol val="none"/>
          </c:marker>
          <c:cat>
            <c:strRef>
              <c:f>'Dashboard'!$C$25:$C$48</c:f>
              <c:strCache>
                <c:ptCount val="0"/>
              </c:strCache>
            </c:strRef>
          </c:cat>
          <c:val>
            <c:numRef>
              <c:f>'Dashboard'!$H$25:$H$48</c:f>
              <c:numCache>
                <c:formatCode>$#,##0;($#,##0);"–"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9e2a1db6da4b25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21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6e854008984a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d8aa95035b4705" /></Relationships>
</file>

<file path=xl/worksheets/sheet1.xml><?xml version="1.0" encoding="utf-8"?>
<x:worksheet xmlns:x="http://schemas.openxmlformats.org/spreadsheetml/2006/main">
  <x:sheetPr>
    <x:tabColor rgb="FF14263F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2" t="str">
        <x:v>SaaS Growth &amp; Retention Model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3" t="str">
        <x:v>SIMULATED BUSINESS | 2027–2028 FORECAST | USD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 t="str">
        <x:v>Case selected:</x:v>
      </x:c>
      <x:c r="D5" s="5" t="str">
        <x:f>'Assumptions'!F5</x:f>
        <x:v>Base</x:v>
      </x:c>
      <x:c r="E5" s="6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52" t="str">
        <x:v>Annual results</x:v>
      </x:c>
      <x:c r="D7" s="52" t="n">
        <x:v>2027</x:v>
      </x:c>
      <x:c r="E7" s="52" t="n">
        <x:v>2028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</x:row>
    <x:row r="8" ht="21" customHeight="1">
      <x:c r="A8" s="1"/>
      <x:c r="B8" s="1"/>
      <x:c r="C8" s="1" t="str">
        <x:v>Subscription revenue</x:v>
      </x:c>
      <x:c r="D8" s="14" t="n">
        <x:f>SUM('Revenue'!D25:O25)</x:f>
        <x:v>1693705.032052517</x:v>
      </x:c>
      <x:c r="E8" s="14" t="n">
        <x:f>SUM('Revenue'!P25:AA25)</x:f>
        <x:v>2974138.9094689377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21" customHeight="1">
      <x:c r="A9" s="1"/>
      <x:c r="B9" s="1"/>
      <x:c r="C9" s="17" t="str">
        <x:v>Year-end ARR</x:v>
      </x:c>
      <x:c r="D9" s="18" t="n">
        <x:f>'Revenue'!O24</x:f>
        <x:v>2251833.6539827157</x:v>
      </x:c>
      <x:c r="E9" s="18" t="n">
        <x:f>'Revenue'!AA24</x:f>
        <x:v>3795403.067451617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</x:row>
    <x:row r="10" ht="21" customHeight="1">
      <x:c r="A10" s="1"/>
      <x:c r="B10" s="1"/>
      <x:c r="C10" s="1" t="str">
        <x:v>ARR growth vs prior year-end</x:v>
      </x:c>
      <x:c r="D10" s="24" t="n">
        <x:f>IF('Assumptions'!$D$10*12=0,"n.a.",D9/('Assumptions'!$D$10*12)-1)</x:f>
        <x:v>0.8765280449855963</x:v>
      </x:c>
      <x:c r="E10" s="24" t="n">
        <x:f>IF('Revenue'!O24=0,"n.a.",E9/('Revenue'!O24)-1)</x:f>
        <x:v>0.6854722198235472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</x:row>
    <x:row r="11" ht="21" customHeight="1">
      <x:c r="A11" s="1"/>
      <x:c r="B11" s="1"/>
      <x:c r="C11" s="1" t="str">
        <x:v>Annual net revenue retention</x:v>
      </x:c>
      <x:c r="D11" s="24" t="n">
        <x:f>'Cohorts'!O39</x:f>
        <x:v>0.9973033387453317</x:v>
      </x:c>
      <x:c r="E11" s="24" t="n">
        <x:f>'Cohorts'!AA39</x:f>
        <x:v>0.997303338745332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</x:row>
    <x:row r="12" ht="21" customHeight="1">
      <x:c r="A12" s="1"/>
      <x:c r="B12" s="1"/>
      <x:c r="C12" s="17" t="str">
        <x:v>EBITDA</x:v>
      </x:c>
      <x:c r="D12" s="18" t="n">
        <x:f>SUM('Operating'!D18:O18)</x:f>
        <x:v>135450.55014190066</x:v>
      </x:c>
      <x:c r="E12" s="18" t="n">
        <x:f>SUM('Operating'!P18:AA18)</x:f>
        <x:v>820199.6354951486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</x:row>
    <x:row r="13" ht="21" customHeight="1">
      <x:c r="A13" s="1"/>
      <x:c r="B13" s="1"/>
      <x:c r="C13" s="1" t="str">
        <x:v>EBITDA margin</x:v>
      </x:c>
      <x:c r="D13" s="24" t="n">
        <x:f>IF(D8=0,"n.a.",D12/D8)</x:f>
        <x:v>0.0799729277404076</x:v>
      </x:c>
      <x:c r="E13" s="24" t="n">
        <x:f>IF(E8=0,"n.a.",E12/E8)</x:f>
        <x:v>0.27577717802078167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</x:row>
    <x:row r="14" ht="21" customHeight="1">
      <x:c r="A14" s="1"/>
      <x:c r="B14" s="1"/>
      <x:c r="C14" s="17" t="str">
        <x:v>Year-end cash</x:v>
      </x:c>
      <x:c r="D14" s="18" t="n">
        <x:f>'Operating'!O24</x:f>
        <x:v>525450.5501419007</x:v>
      </x:c>
      <x:c r="E14" s="18" t="n">
        <x:f>'Operating'!AA24</x:f>
        <x:v>1285650.1856370494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</x:row>
    <x:row r="15" ht="21" customHeight="1">
      <x:c r="A15" s="1"/>
      <x:c r="B15" s="1"/>
      <x:c r="C15" s="1" t="str">
        <x:v>Annual realized CAC</x:v>
      </x:c>
      <x:c r="D15" s="14" t="n">
        <x:f>IF(SUM('Revenue'!D12:O12)=0,"n.a.",SUM('Operating'!D14:O14)/SUM('Revenue'!D12:O12))</x:f>
        <x:v>1835.1762364059439</x:v>
      </x:c>
      <x:c r="E15" s="14" t="n">
        <x:f>IF(SUM('Revenue'!P12:AA12)=0,"n.a.",SUM('Operating'!P14:AA14)/SUM('Revenue'!P12:AA12))</x:f>
        <x:v>1824.749157156986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</x:row>
    <x:row r="16" ht="21" customHeight="1">
      <x:c r="A16" s="1"/>
      <x:c r="B16" s="1"/>
      <x:c r="C16" s="1" t="str">
        <x:v>Annual CAC payback (months)</x:v>
      </x:c>
      <x:c r="D16" s="36" t="n">
        <x:f>IF(SUMPRODUCT('Revenue'!D18:O18,'Operating'!D10:O10)=0,"n.a.",SUM('Operating'!D14:O14)/SUMPRODUCT('Revenue'!D18:O18,'Operating'!D10:O10))</x:f>
        <x:v>9.069133602704216</x:v>
      </x:c>
      <x:c r="E16" s="36" t="n">
        <x:f>IF(SUMPRODUCT('Revenue'!P18:AA18,'Operating'!P10:AA10)=0,"n.a.",SUM('Operating'!P14:AA14)/SUMPRODUCT('Revenue'!P18:AA18,'Operating'!P10:AA10))</x:f>
        <x:v>8.803673521170602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</x:row>
    <x:row r="17" ht="21" customHeight="1">
      <x:c r="A17" s="1"/>
      <x:c r="B17" s="1"/>
      <x:c r="C17" s="1" t="str">
        <x:v>Year-end LTV proxy</x:v>
      </x:c>
      <x:c r="D17" s="14" t="n">
        <x:f>'Operating'!O30</x:f>
        <x:v>13629.617670597516</x:v>
      </x:c>
      <x:c r="E17" s="14" t="n">
        <x:f>'Operating'!AA30</x:f>
        <x:v>13960.350810176804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</x:row>
    <x:row r="18" ht="21" customHeight="1">
      <x:c r="A18" s="1"/>
      <x:c r="B18" s="1"/>
      <x:c r="C18" s="1" t="str">
        <x:v>Year-end LTV / CAC proxy</x:v>
      </x:c>
      <x:c r="D18" s="36" t="n">
        <x:f>'Operating'!O31</x:f>
        <x:v>7.439446157843722</x:v>
      </x:c>
      <x:c r="E18" s="36" t="n">
        <x:f>'Operating'!AA31</x:f>
        <x:v>7.702358521651528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</x:row>
    <x:row r="21" ht="21" customHeight="1">
      <x:c r="A21" s="1"/>
      <x:c r="B21" s="1"/>
      <x:c r="C21" s="1" t="str">
        <x:v>Review exercise: change the case in Assumptions!D5, then compare growth, retention and cash.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</x:row>
    <x:row r="22" ht="21" customHeight="1">
      <x:c r="A22" s="1"/>
      <x:c r="B22" s="1"/>
      <x:c r="C22" s="1" t="str">
        <x:v>ARR is a year-end run rate; revenue is earned over the year. LTV is an approximation.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</x:row>
    <x:row r="24" ht="21" customHeight="1">
      <x:c r="A24" s="1"/>
      <x:c r="B24" s="1"/>
      <x:c r="C24" s="52" t="str">
        <x:v>Month</x:v>
      </x:c>
      <x:c r="D24" s="52" t="str">
        <x:v>Ending MRR</x:v>
      </x:c>
      <x:c r="E24" s="52" t="str">
        <x:v>Ending ARR</x:v>
      </x:c>
      <x:c r="F24" s="52" t="str">
        <x:v>Revenue</x:v>
      </x:c>
      <x:c r="G24" s="52" t="str">
        <x:v>EBITDA</x:v>
      </x:c>
      <x:c r="H24" s="52" t="str">
        <x:v>Ending cash</x:v>
      </x:c>
      <x:c r="I24" s="52" t="str">
        <x:v>Monthly NRR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</x:row>
    <x:row r="25" ht="21" customHeight="1">
      <x:c r="A25" s="1"/>
      <x:c r="B25" s="1"/>
      <x:c r="C25" s="1" t="str">
        <x:f>TEXT('Revenue'!D7,"mmm-yy")</x:f>
        <x:v>Jan-27</x:v>
      </x:c>
      <x:c r="D25" s="14" t="n">
        <x:f>'Revenue'!D23</x:f>
        <x:v>106227.5</x:v>
      </x:c>
      <x:c r="E25" s="14" t="n">
        <x:f>'Revenue'!D24</x:f>
        <x:v>1274730</x:v>
      </x:c>
      <x:c r="F25" s="14" t="n">
        <x:f>'Revenue'!D25</x:f>
        <x:v>103113.75</x:v>
      </x:c>
      <x:c r="G25" s="14" t="n">
        <x:f>'Operating'!D18</x:f>
        <x:v>-8509</x:v>
      </x:c>
      <x:c r="H25" s="14" t="n">
        <x:f>'Operating'!D24</x:f>
        <x:v>436491</x:v>
      </x:c>
      <x:c r="I25" s="63" t="n">
        <x:f>'Revenue'!D27</x:f>
        <x:v>0.999775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</x:row>
    <x:row r="26" ht="21" customHeight="1">
      <x:c r="A26" s="1"/>
      <x:c r="B26" s="1"/>
      <x:c r="C26" s="1" t="str">
        <x:f>TEXT('Revenue'!E7,"mmm-yy")</x:f>
        <x:v>Feb-27</x:v>
      </x:c>
      <x:c r="D26" s="14" t="n">
        <x:f>'Revenue'!E23</x:f>
        <x:v>112466.09881249999</x:v>
      </x:c>
      <x:c r="E26" s="14" t="n">
        <x:f>'Revenue'!E24</x:f>
        <x:v>1349593.1857499997</x:v>
      </x:c>
      <x:c r="F26" s="14" t="n">
        <x:f>'Revenue'!E25</x:f>
        <x:v>109346.79940625</x:v>
      </x:c>
      <x:c r="G26" s="14" t="n">
        <x:f>'Operating'!E18</x:f>
        <x:v>-5296.560475000006</x:v>
      </x:c>
      <x:c r="H26" s="14" t="n">
        <x:f>'Operating'!E24</x:f>
        <x:v>426194.439525</x:v>
      </x:c>
      <x:c r="I26" s="63" t="n">
        <x:f>'Revenue'!E27</x:f>
        <x:v>0.9997749999999999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</x:row>
    <x:row r="27" ht="21" customHeight="1">
      <x:c r="A27" s="1"/>
      <x:c r="B27" s="1"/>
      <x:c r="C27" s="1" t="str">
        <x:f>TEXT('Revenue'!F7,"mmm-yy")</x:f>
        <x:v>Mar-27</x:v>
      </x:c>
      <x:c r="D27" s="14" t="n">
        <x:f>'Revenue'!F23</x:f>
        <x:v>118966.81994026717</x:v>
      </x:c>
      <x:c r="E27" s="14" t="n">
        <x:f>'Revenue'!F24</x:f>
        <x:v>1427601.839283206</x:v>
      </x:c>
      <x:c r="F27" s="14" t="n">
        <x:f>'Revenue'!F25</x:f>
        <x:v>115716.45937638357</x:v>
      </x:c>
      <x:c r="G27" s="14" t="n">
        <x:f>'Operating'!F18</x:f>
        <x:v>-2019.2844988931465</x:v>
      </x:c>
      <x:c r="H27" s="14" t="n">
        <x:f>'Operating'!F24</x:f>
        <x:v>419175.15502610686</x:v>
      </x:c>
      <x:c r="I27" s="63" t="n">
        <x:f>'Revenue'!F27</x:f>
        <x:v>0.9997750000000001</x:v>
      </x:c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</x:row>
    <x:row r="28" ht="21" customHeight="1">
      <x:c r="A28" s="1"/>
      <x:c r="B28" s="1"/>
      <x:c r="C28" s="1" t="str">
        <x:f>TEXT('Revenue'!G7,"mmm-yy")</x:f>
        <x:v>Apr-27</x:v>
      </x:c>
      <x:c r="D28" s="14" t="n">
        <x:f>'Revenue'!G23</x:f>
        <x:v>125730.63345978063</x:v>
      </x:c>
      <x:c r="E28" s="14" t="n">
        <x:f>'Revenue'!G24</x:f>
        <x:v>1508767.6015173676</x:v>
      </x:c>
      <x:c r="F28" s="14" t="n">
        <x:f>'Revenue'!G25</x:f>
        <x:v>122348.7267000239</x:v>
      </x:c>
      <x:c r="G28" s="14" t="n">
        <x:f>'Operating'!G18</x:f>
        <x:v>1422.3731440191186</x:v>
      </x:c>
      <x:c r="H28" s="14" t="n">
        <x:f>'Operating'!G24</x:f>
        <x:v>415597.52817012597</x:v>
      </x:c>
      <x:c r="I28" s="63" t="n">
        <x:f>'Revenue'!G27</x:f>
        <x:v>0.9997750000000002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</x:row>
    <x:row r="29" ht="21" customHeight="1">
      <x:c r="A29" s="1"/>
      <x:c r="B29" s="1"/>
      <x:c r="C29" s="1" t="str">
        <x:f>TEXT('Revenue'!H7,"mmm-yy")</x:f>
        <x:v>May-27</x:v>
      </x:c>
      <x:c r="D29" s="14" t="n">
        <x:f>'Revenue'!H23</x:f>
        <x:v>132758.5122913642</x:v>
      </x:c>
      <x:c r="E29" s="14" t="n">
        <x:f>'Revenue'!H24</x:f>
        <x:v>1593102.1474963704</x:v>
      </x:c>
      <x:c r="F29" s="14" t="n">
        <x:f>'Revenue'!H25</x:f>
        <x:v>129244.57287557241</x:v>
      </x:c>
      <x:c r="G29" s="14" t="n">
        <x:f>'Operating'!H18</x:f>
        <x:v>5027.9006327299285</x:v>
      </x:c>
      <x:c r="H29" s="14" t="n">
        <x:f>'Operating'!H24</x:f>
        <x:v>415625.4288028559</x:v>
      </x:c>
      <x:c r="I29" s="63" t="n">
        <x:f>'Revenue'!H27</x:f>
        <x:v>0.9997750000000002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</x:row>
    <x:row r="30" ht="21" customHeight="1">
      <x:c r="A30" s="1"/>
      <x:c r="B30" s="1"/>
      <x:c r="C30" s="1" t="str">
        <x:f>TEXT('Revenue'!I7,"mmm-yy")</x:f>
        <x:v>Jun-27</x:v>
      </x:c>
      <x:c r="D30" s="14" t="n">
        <x:f>'Revenue'!I23</x:f>
        <x:v>139798.92218665886</x:v>
      </x:c>
      <x:c r="E30" s="14" t="n">
        <x:f>'Revenue'!I24</x:f>
        <x:v>1677587.0662399065</x:v>
      </x:c>
      <x:c r="F30" s="14" t="n">
        <x:f>'Revenue'!I25</x:f>
        <x:v>136278.71723901154</x:v>
      </x:c>
      <x:c r="G30" s="14" t="n">
        <x:f>'Operating'!I18</x:f>
        <x:v>8695.746515679406</x:v>
      </x:c>
      <x:c r="H30" s="14" t="n">
        <x:f>'Operating'!I24</x:f>
        <x:v>419321.1753185353</x:v>
      </x:c>
      <x:c r="I30" s="63" t="n">
        <x:f>'Revenue'!I27</x:f>
        <x:v>0.999775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</x:row>
    <x:row r="31" ht="21" customHeight="1">
      <x:c r="A31" s="1"/>
      <x:c r="B31" s="1"/>
      <x:c r="C31" s="1" t="str">
        <x:f>TEXT('Revenue'!J7,"mmm-yy")</x:f>
        <x:v>Jul-27</x:v>
      </x:c>
      <x:c r="D31" s="14" t="n">
        <x:f>'Revenue'!J23</x:f>
        <x:v>147104.90359090824</x:v>
      </x:c>
      <x:c r="E31" s="14" t="n">
        <x:f>'Revenue'!J24</x:f>
        <x:v>1765258.8430908988</x:v>
      </x:c>
      <x:c r="F31" s="14" t="n">
        <x:f>'Revenue'!J25</x:f>
        <x:v>143451.91288878355</x:v>
      </x:c>
      <x:c r="G31" s="14" t="n">
        <x:f>'Operating'!J18</x:f>
        <x:v>12425.147320930177</x:v>
      </x:c>
      <x:c r="H31" s="14" t="n">
        <x:f>'Operating'!J24</x:f>
        <x:v>426746.32263946545</x:v>
      </x:c>
      <x:c r="I31" s="63" t="n">
        <x:f>'Revenue'!J27</x:f>
        <x:v>0.999775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</x:row>
    <x:row r="32" ht="21" customHeight="1">
      <x:c r="A32" s="1"/>
      <x:c r="B32" s="1"/>
      <x:c r="C32" s="1" t="str">
        <x:f>TEXT('Revenue'!K7,"mmm-yy")</x:f>
        <x:v>Aug-27</x:v>
      </x:c>
      <x:c r="D32" s="14" t="n">
        <x:f>'Revenue'!K23</x:f>
        <x:v>154677.43709180533</x:v>
      </x:c>
      <x:c r="E32" s="14" t="n">
        <x:f>'Revenue'!K24</x:f>
        <x:v>1856129.245101664</x:v>
      </x:c>
      <x:c r="F32" s="14" t="n">
        <x:f>'Revenue'!K25</x:f>
        <x:v>150891.17034135677</x:v>
      </x:c>
      <x:c r="G32" s="14" t="n">
        <x:f>'Operating'!K18</x:f>
        <x:v>16316.305317070597</x:v>
      </x:c>
      <x:c r="H32" s="14" t="n">
        <x:f>'Operating'!K24</x:f>
        <x:v>438062.627956536</x:v>
      </x:c>
      <x:c r="I32" s="63" t="n">
        <x:f>'Revenue'!K27</x:f>
        <x:v>0.9997749999999999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</x:row>
    <x:row r="33" ht="21" customHeight="1">
      <x:c r="A33" s="1"/>
      <x:c r="B33" s="1"/>
      <x:c r="C33" s="1" t="str">
        <x:f>TEXT('Revenue'!L7,"mmm-yy")</x:f>
        <x:v>Sep-27</x:v>
      </x:c>
      <x:c r="D33" s="14" t="n">
        <x:f>'Revenue'!L23</x:f>
        <x:v>162517.50614915357</x:v>
      </x:c>
      <x:c r="E33" s="14" t="n">
        <x:f>'Revenue'!L24</x:f>
        <x:v>1950210.073789843</x:v>
      </x:c>
      <x:c r="F33" s="14" t="n">
        <x:f>'Revenue'!L25</x:f>
        <x:v>158597.47162047945</x:v>
      </x:c>
      <x:c r="G33" s="14" t="n">
        <x:f>'Operating'!L18</x:f>
        <x:v>20368.558586232015</x:v>
      </x:c>
      <x:c r="H33" s="14" t="n">
        <x:f>'Operating'!L24</x:f>
        <x:v>453431.18654276803</x:v>
      </x:c>
      <x:c r="I33" s="63" t="n">
        <x:f>'Revenue'!L27</x:f>
        <x:v>0.999775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</x:row>
    <x:row r="34" ht="21" customHeight="1">
      <x:c r="A34" s="1"/>
      <x:c r="B34" s="1"/>
      <x:c r="C34" s="1" t="str">
        <x:f>TEXT('Revenue'!M7,"mmm-yy")</x:f>
        <x:v>Oct-27</x:v>
      </x:c>
      <x:c r="D34" s="14" t="n">
        <x:f>'Revenue'!M23</x:f>
        <x:v>170626.0971024303</x:v>
      </x:c>
      <x:c r="E34" s="14" t="n">
        <x:f>'Revenue'!M24</x:f>
        <x:v>2047513.1652291636</x:v>
      </x:c>
      <x:c r="F34" s="14" t="n">
        <x:f>'Revenue'!M25</x:f>
        <x:v>166571.80162579194</x:v>
      </x:c>
      <x:c r="G34" s="14" t="n">
        <x:f>'Operating'!M18</x:f>
        <x:v>24581.2048847119</x:v>
      </x:c>
      <x:c r="H34" s="14" t="n">
        <x:f>'Operating'!M24</x:f>
        <x:v>473012.3914274799</x:v>
      </x:c>
      <x:c r="I34" s="63" t="n">
        <x:f>'Revenue'!M27</x:f>
        <x:v>0.999775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ht="21" customHeight="1">
      <x:c r="A35" s="1"/>
      <x:c r="B35" s="1"/>
      <x:c r="C35" s="1" t="str">
        <x:f>TEXT('Revenue'!N7,"mmm-yy")</x:f>
        <x:v>Nov-27</x:v>
      </x:c>
      <x:c r="D35" s="14" t="n">
        <x:f>'Revenue'!N23</x:f>
        <x:v>179004.19917836887</x:v>
      </x:c>
      <x:c r="E35" s="14" t="n">
        <x:f>'Revenue'!N24</x:f>
        <x:v>2148050.3901404263</x:v>
      </x:c>
      <x:c r="F35" s="14" t="n">
        <x:f>'Revenue'!N25</x:f>
        <x:v>174815.1481403996</x:v>
      </x:c>
      <x:c r="G35" s="14" t="n">
        <x:f>'Operating'!N18</x:f>
        <x:v>28953.500377809367</x:v>
      </x:c>
      <x:c r="H35" s="14" t="n">
        <x:f>'Operating'!N24</x:f>
        <x:v>496965.8918052893</x:v>
      </x:c>
      <x:c r="I35" s="63" t="n">
        <x:f>'Revenue'!N27</x:f>
        <x:v>0.9997749999999999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</x:row>
    <x:row r="36" ht="21" customHeight="1">
      <x:c r="A36" s="1"/>
      <x:c r="B36" s="1"/>
      <x:c r="C36" s="1" t="str">
        <x:f>TEXT('Revenue'!O7,"mmm-yy")</x:f>
        <x:v>Dec-27</x:v>
      </x:c>
      <x:c r="D36" s="14" t="n">
        <x:f>'Revenue'!O23</x:f>
        <x:v>187652.80449855965</x:v>
      </x:c>
      <x:c r="E36" s="14" t="n">
        <x:f>'Revenue'!O24</x:f>
        <x:v>2251833.6539827157</x:v>
      </x:c>
      <x:c r="F36" s="14" t="n">
        <x:f>'Revenue'!O25</x:f>
        <x:v>183328.50183846426</x:v>
      </x:c>
      <x:c r="G36" s="14" t="n">
        <x:f>'Operating'!O18</x:f>
        <x:v>33484.65833661132</x:v>
      </x:c>
      <x:c r="H36" s="14" t="n">
        <x:f>'Operating'!O24</x:f>
        <x:v>525450.5501419007</x:v>
      </x:c>
      <x:c r="I36" s="63" t="n">
        <x:f>'Revenue'!O27</x:f>
        <x:v>0.999775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</x:row>
    <x:row r="37" ht="21" customHeight="1">
      <x:c r="A37" s="1"/>
      <x:c r="B37" s="1"/>
      <x:c r="C37" s="1" t="str">
        <x:f>TEXT('Revenue'!P7,"mmm-yy")</x:f>
        <x:v>Jan-28</x:v>
      </x:c>
      <x:c r="D37" s="14" t="n">
        <x:f>'Revenue'!P23</x:f>
        <x:v>196572.90808706978</x:v>
      </x:c>
      <x:c r="E37" s="14" t="n">
        <x:f>'Revenue'!P24</x:f>
        <x:v>2358874.8970448375</x:v>
      </x:c>
      <x:c r="F37" s="14" t="n">
        <x:f>'Revenue'!P25</x:f>
        <x:v>192112.85629281471</x:v>
      </x:c>
      <x:c r="G37" s="14" t="n">
        <x:f>'Operating'!P18</x:f>
        <x:v>38173.847795587935</x:v>
      </x:c>
      <x:c r="H37" s="14" t="n">
        <x:f>'Operating'!P24</x:f>
        <x:v>558624.3979374886</x:v>
      </x:c>
      <x:c r="I37" s="63" t="n">
        <x:f>'Revenue'!P27</x:f>
        <x:v>0.9997750000000002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ht="21" customHeight="1">
      <x:c r="A38" s="1"/>
      <x:c r="B38" s="1"/>
      <x:c r="C38" s="1" t="str">
        <x:f>TEXT('Revenue'!Q7,"mmm-yy")</x:f>
        <x:v>Feb-28</x:v>
      </x:c>
      <x:c r="D38" s="14" t="n">
        <x:f>'Revenue'!Q23</x:f>
        <x:v>205765.50787808184</x:v>
      </x:c>
      <x:c r="E38" s="14" t="n">
        <x:f>'Revenue'!Q24</x:f>
        <x:v>2469186.094536982</x:v>
      </x:c>
      <x:c r="F38" s="14" t="n">
        <x:f>'Revenue'!Q25</x:f>
        <x:v>201169.2079825758</x:v>
      </x:c>
      <x:c r="G38" s="14" t="n">
        <x:f>'Operating'!Q18</x:f>
        <x:v>43020.19216982239</x:v>
      </x:c>
      <x:c r="H38" s="14" t="n">
        <x:f>'Operating'!Q24</x:f>
        <x:v>596644.590107311</x:v>
      </x:c>
      <x:c r="I38" s="63" t="n">
        <x:f>'Revenue'!Q27</x:f>
        <x:v>0.9997750000000001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</x:row>
    <x:row r="39" ht="21" customHeight="1">
      <x:c r="A39" s="1"/>
      <x:c r="B39" s="1"/>
      <x:c r="C39" s="1" t="str">
        <x:f>TEXT('Revenue'!R7,"mmm-yy")</x:f>
        <x:v>Mar-28</x:v>
      </x:c>
      <x:c r="D39" s="14" t="n">
        <x:f>'Revenue'!R23</x:f>
        <x:v>215231.60472355166</x:v>
      </x:c>
      <x:c r="E39" s="14" t="n">
        <x:f>'Revenue'!R24</x:f>
        <x:v>2582779.25668262</x:v>
      </x:c>
      <x:c r="F39" s="14" t="n">
        <x:f>'Revenue'!R25</x:f>
        <x:v>210498.55630081677</x:v>
      </x:c>
      <x:c r="G39" s="14" t="n">
        <x:f>'Operating'!R18</x:f>
        <x:v>48022.7678306639</x:v>
      </x:c>
      <x:c r="H39" s="14" t="n">
        <x:f>'Operating'!R24</x:f>
        <x:v>639667.357937975</x:v>
      </x:c>
      <x:c r="I39" s="63" t="n">
        <x:f>'Revenue'!R27</x:f>
        <x:v>0.999775</x:v>
      </x:c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</x:row>
    <x:row r="40" ht="21" customHeight="1">
      <x:c r="A40" s="1"/>
      <x:c r="B40" s="1"/>
      <x:c r="C40" s="1" t="str">
        <x:f>TEXT('Revenue'!S7,"mmm-yy")</x:f>
        <x:v>Apr-28</x:v>
      </x:c>
      <x:c r="D40" s="14" t="n">
        <x:f>'Revenue'!S23</x:f>
        <x:v>224972.20240088482</x:v>
      </x:c>
      <x:c r="E40" s="14" t="n">
        <x:f>'Revenue'!S24</x:f>
        <x:v>2699666.428810618</x:v>
      </x:c>
      <x:c r="F40" s="14" t="n">
        <x:f>'Revenue'!S25</x:f>
        <x:v>220101.90356221824</x:v>
      </x:c>
      <x:c r="G40" s="14" t="n">
        <x:f>'Operating'!S18</x:f>
        <x:v>53180.60263855732</x:v>
      </x:c>
      <x:c r="H40" s="14" t="n">
        <x:f>'Operating'!S24</x:f>
        <x:v>687847.9605765323</x:v>
      </x:c>
      <x:c r="I40" s="63" t="n">
        <x:f>'Revenue'!S27</x:f>
        <x:v>0.999775</x:v>
      </x:c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ht="21" customHeight="1">
      <x:c r="A41" s="1"/>
      <x:c r="B41" s="1"/>
      <x:c r="C41" s="1" t="str">
        <x:f>TEXT('Revenue'!T7,"mmm-yy")</x:f>
        <x:v>May-28</x:v>
      </x:c>
      <x:c r="D41" s="14" t="n">
        <x:f>'Revenue'!T23</x:f>
        <x:v>235246.4287479475</x:v>
      </x:c>
      <x:c r="E41" s="14" t="n">
        <x:f>'Revenue'!T24</x:f>
        <x:v>2822957.14497537</x:v>
      </x:c>
      <x:c r="F41" s="14" t="n">
        <x:f>'Revenue'!T25</x:f>
        <x:v>230109.31557441616</x:v>
      </x:c>
      <x:c r="G41" s="14" t="n">
        <x:f>'Operating'!T18</x:f>
        <x:v>58595.922882690444</x:v>
      </x:c>
      <x:c r="H41" s="14" t="n">
        <x:f>'Operating'!T24</x:f>
        <x:v>741443.8834592227</x:v>
      </x:c>
      <x:c r="I41" s="63" t="n">
        <x:f>'Revenue'!T27</x:f>
        <x:v>0.999775</x:v>
      </x:c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ht="21" customHeight="1">
      <x:c r="A42" s="1"/>
      <x:c r="B42" s="1"/>
      <x:c r="C42" s="1" t="str">
        <x:f>TEXT('Revenue'!U7,"mmm-yy")</x:f>
        <x:v>Jun-28</x:v>
      </x:c>
      <x:c r="D42" s="14" t="n">
        <x:f>'Revenue'!U23</x:f>
        <x:v>245797.63045383705</x:v>
      </x:c>
      <x:c r="E42" s="14" t="n">
        <x:f>'Revenue'!U24</x:f>
        <x:v>2949571.5654460443</x:v>
      </x:c>
      <x:c r="F42" s="14" t="n">
        <x:f>'Revenue'!U25</x:f>
        <x:v>240522.02960089227</x:v>
      </x:c>
      <x:c r="G42" s="14" t="n">
        <x:f>'Operating'!U18</x:f>
        <x:v>64267.838088433055</x:v>
      </x:c>
      <x:c r="H42" s="14" t="n">
        <x:f>'Operating'!U24</x:f>
        <x:v>800711.7215476558</x:v>
      </x:c>
      <x:c r="I42" s="63" t="n">
        <x:f>'Revenue'!U27</x:f>
        <x:v>0.9997750000000001</x:v>
      </x:c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ht="21" customHeight="1">
      <x:c r="A43" s="1"/>
      <x:c r="B43" s="1"/>
      <x:c r="C43" s="1" t="str">
        <x:f>TEXT('Revenue'!V7,"mmm-yy")</x:f>
        <x:v>Jul-28</x:v>
      </x:c>
      <x:c r="D43" s="14" t="n">
        <x:f>'Revenue'!V23</x:f>
        <x:v>256626.8210479563</x:v>
      </x:c>
      <x:c r="E43" s="14" t="n">
        <x:f>'Revenue'!V24</x:f>
        <x:v>3079521.8525754754</x:v>
      </x:c>
      <x:c r="F43" s="14" t="n">
        <x:f>'Revenue'!V25</x:f>
        <x:v>251212.22575089667</x:v>
      </x:c>
      <x:c r="G43" s="14" t="n">
        <x:f>'Operating'!V18</x:f>
        <x:v>70092.15651959239</x:v>
      </x:c>
      <x:c r="H43" s="14" t="n">
        <x:f>'Operating'!V24</x:f>
        <x:v>865803.8780672482</x:v>
      </x:c>
      <x:c r="I43" s="63" t="n">
        <x:f>'Revenue'!V27</x:f>
        <x:v>0.9997750000000001</x:v>
      </x:c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ht="21" customHeight="1">
      <x:c r="A44" s="1"/>
      <x:c r="B44" s="1"/>
      <x:c r="C44" s="1" t="str">
        <x:f>TEXT('Revenue'!W7,"mmm-yy")</x:f>
        <x:v>Aug-28</x:v>
      </x:c>
      <x:c r="D44" s="14" t="n">
        <x:f>'Revenue'!W23</x:f>
        <x:v>267735.0170179113</x:v>
      </x:c>
      <x:c r="E44" s="14" t="n">
        <x:f>'Revenue'!W24</x:f>
        <x:v>3212820.2042149357</x:v>
      </x:c>
      <x:c r="F44" s="14" t="n">
        <x:f>'Revenue'!W25</x:f>
        <x:v>262180.9190329338</x:v>
      </x:c>
      <x:c r="G44" s="14" t="n">
        <x:f>'Operating'!W18</x:f>
        <x:v>76067.69716330714</x:v>
      </x:c>
      <x:c r="H44" s="14" t="n">
        <x:f>'Operating'!W24</x:f>
        <x:v>936871.5752305553</x:v>
      </x:c>
      <x:c r="I44" s="63" t="n">
        <x:f>'Revenue'!W27</x:f>
        <x:v>0.9997750000000002</x:v>
      </x:c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ht="21" customHeight="1">
      <x:c r="A45" s="1"/>
      <x:c r="B45" s="1"/>
      <x:c r="C45" s="1" t="str">
        <x:f>TEXT('Revenue'!X7,"mmm-yy")</x:f>
        <x:v>Sep-28</x:v>
      </x:c>
      <x:c r="D45" s="14" t="n">
        <x:f>'Revenue'!X23</x:f>
        <x:v>279383.4301167917</x:v>
      </x:c>
      <x:c r="E45" s="14" t="n">
        <x:f>'Revenue'!X24</x:f>
        <x:v>3352601.1614015</x:v>
      </x:c>
      <x:c r="F45" s="14" t="n">
        <x:f>'Revenue'!X25</x:f>
        <x:v>273559.22356735147</x:v>
      </x:c>
      <x:c r="G45" s="14" t="n">
        <x:f>'Operating'!X18</x:f>
        <x:v>82297.29939256576</x:v>
      </x:c>
      <x:c r="H45" s="14" t="n">
        <x:f>'Operating'!X24</x:f>
        <x:v>1014168.874623121</x:v>
      </x:c>
      <x:c r="I45" s="63" t="n">
        <x:f>'Revenue'!X27</x:f>
        <x:v>0.9997749999999999</x:v>
      </x:c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ht="21" customHeight="1">
      <x:c r="A46" s="1"/>
      <x:c r="B46" s="1"/>
      <x:c r="C46" s="1" t="str">
        <x:f>TEXT('Revenue'!Y7,"mmm-yy")</x:f>
        <x:v>Oct-28</x:v>
      </x:c>
      <x:c r="D46" s="14" t="n">
        <x:f>'Revenue'!Y23</x:f>
        <x:v>291313.35231378395</x:v>
      </x:c>
      <x:c r="E46" s="14" t="n">
        <x:f>'Revenue'!Y24</x:f>
        <x:v>3495760.2277654074</x:v>
      </x:c>
      <x:c r="F46" s="14" t="n">
        <x:f>'Revenue'!Y25</x:f>
        <x:v>285348.39121528785</x:v>
      </x:c>
      <x:c r="G46" s="14" t="n">
        <x:f>'Operating'!Y18</x:f>
        <x:v>88779.85211066453</x:v>
      </x:c>
      <x:c r="H46" s="14" t="n">
        <x:f>'Operating'!Y24</x:f>
        <x:v>1097948.7267337856</x:v>
      </x:c>
      <x:c r="I46" s="63" t="n">
        <x:f>'Revenue'!Y27</x:f>
        <x:v>0.9997750000000001</x:v>
      </x:c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ht="21" customHeight="1">
      <x:c r="A47" s="1"/>
      <x:c r="B47" s="1"/>
      <x:c r="C47" s="1" t="str">
        <x:f>TEXT('Revenue'!Z7,"mmm-yy")</x:f>
        <x:v>Nov-28</x:v>
      </x:c>
      <x:c r="D47" s="14" t="n">
        <x:f>'Revenue'!Z23</x:f>
        <x:v>303525.8099546913</x:v>
      </x:c>
      <x:c r="E47" s="14" t="n">
        <x:f>'Revenue'!Z24</x:f>
        <x:v>3642309.719456296</x:v>
      </x:c>
      <x:c r="F47" s="14" t="n">
        <x:f>'Revenue'!Z25</x:f>
        <x:v>297419.58113423764</x:v>
      </x:c>
      <x:c r="G47" s="14" t="n">
        <x:f>'Operating'!Z18</x:f>
        <x:v>95410.10758428002</x:v>
      </x:c>
      <x:c r="H47" s="14" t="n">
        <x:f>'Operating'!Z24</x:f>
        <x:v>1188358.8343180656</x:v>
      </x:c>
      <x:c r="I47" s="63" t="n">
        <x:f>'Revenue'!Z27</x:f>
        <x:v>0.9997750000000001</x:v>
      </x:c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ht="21" customHeight="1">
      <x:c r="A48" s="1"/>
      <x:c r="B48" s="1"/>
      <x:c r="C48" s="1" t="str">
        <x:f>TEXT('Revenue'!AA7,"mmm-yy")</x:f>
        <x:v>Dec-28</x:v>
      </x:c>
      <x:c r="D48" s="14" t="n">
        <x:f>'Revenue'!AA23</x:f>
        <x:v>316283.58895430143</x:v>
      </x:c>
      <x:c r="E48" s="14" t="n">
        <x:f>'Revenue'!AA24</x:f>
        <x:v>3795403.067451617</x:v>
      </x:c>
      <x:c r="F48" s="14" t="n">
        <x:f>'Revenue'!AA25</x:f>
        <x:v>309904.6994544964</x:v>
      </x:c>
      <x:c r="G48" s="14" t="n">
        <x:f>'Operating'!AA18</x:f>
        <x:v>102291.35131898388</x:v>
      </x:c>
      <x:c r="H48" s="14" t="n">
        <x:f>'Operating'!AA24</x:f>
        <x:v>1285650.1856370494</x:v>
      </x:c>
      <x:c r="I48" s="63" t="n">
        <x:f>'Revenue'!AA27</x:f>
        <x:v>0.999775</x:v>
      </x:c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</x:sheetData>
  <x:conditionalFormatting sqref="D14:E14">
    <x:cfRule type="cellIs" dxfId="2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8d8aa95035b4705"/>
</x:worksheet>
</file>

<file path=xl/worksheets/sheet2.xml><?xml version="1.0" encoding="utf-8"?>
<x:worksheet xmlns:x="http://schemas.openxmlformats.org/spreadsheetml/2006/main">
  <x:sheetPr>
    <x:tabColor rgb="FF426B9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2" t="str">
        <x:v>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3" t="str">
        <x:v>SIMULATED BUSINESS | 2027–2028 FORECAST | USD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 t="str">
        <x:v>Case (1 / 2 / 3):</x:v>
      </x:c>
      <x:c r="D5" s="32" t="n">
        <x:v>1</x:v>
      </x:c>
      <x:c r="E5" s="1"/>
      <x:c r="F5" s="12" t="str">
        <x:f>CHOOSE(D5,"Base","Downside","Upside")</x:f>
        <x:v>Base</x:v>
      </x:c>
      <x:c r="G5" s="1"/>
      <x:c r="H5" s="1" t="str">
        <x:v>1 Base · 2 Downside · 3 Upside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0"/>
      <x:c r="D7" s="11" t="d">
        <x:v>2027-01-01T00:00:00.000Z</x:v>
      </x:c>
      <x:c r="E7" s="11" t="d">
        <x:v>2027-02-01T00:00:00.000Z</x:v>
      </x:c>
      <x:c r="F7" s="11" t="d">
        <x:v>2027-03-01T00:00:00.000Z</x:v>
      </x:c>
      <x:c r="G7" s="11" t="d">
        <x:v>2027-04-01T00:00:00.000Z</x:v>
      </x:c>
      <x:c r="H7" s="11" t="d">
        <x:v>2027-05-01T00:00:00.000Z</x:v>
      </x:c>
      <x:c r="I7" s="11" t="d">
        <x:v>2027-06-01T00:00:00.000Z</x:v>
      </x:c>
      <x:c r="J7" s="11" t="d">
        <x:v>2027-07-01T00:00:00.000Z</x:v>
      </x:c>
      <x:c r="K7" s="11" t="d">
        <x:v>2027-08-01T00:00:00.000Z</x:v>
      </x:c>
      <x:c r="L7" s="11" t="d">
        <x:v>2027-09-01T00:00:00.000Z</x:v>
      </x:c>
      <x:c r="M7" s="11" t="d">
        <x:v>2027-10-01T00:00:00.000Z</x:v>
      </x:c>
      <x:c r="N7" s="11" t="d">
        <x:v>2027-11-01T00:00:00.000Z</x:v>
      </x:c>
      <x:c r="O7" s="11" t="d">
        <x:v>2027-12-01T00:00:00.000Z</x:v>
      </x:c>
      <x:c r="P7" s="11" t="d">
        <x:v>2028-01-01T00:00:00.000Z</x:v>
      </x:c>
      <x:c r="Q7" s="11" t="d">
        <x:v>2028-02-01T00:00:00.000Z</x:v>
      </x:c>
      <x:c r="R7" s="11" t="d">
        <x:v>2028-03-01T00:00:00.000Z</x:v>
      </x:c>
      <x:c r="S7" s="11" t="d">
        <x:v>2028-04-01T00:00:00.000Z</x:v>
      </x:c>
      <x:c r="T7" s="11" t="d">
        <x:v>2028-05-01T00:00:00.000Z</x:v>
      </x:c>
      <x:c r="U7" s="11" t="d">
        <x:v>2028-06-01T00:00:00.000Z</x:v>
      </x:c>
      <x:c r="V7" s="11" t="d">
        <x:v>2028-07-01T00:00:00.000Z</x:v>
      </x:c>
      <x:c r="W7" s="11" t="d">
        <x:v>2028-08-01T00:00:00.000Z</x:v>
      </x:c>
      <x:c r="X7" s="11" t="d">
        <x:v>2028-09-01T00:00:00.000Z</x:v>
      </x:c>
      <x:c r="Y7" s="11" t="d">
        <x:v>2028-10-01T00:00:00.000Z</x:v>
      </x:c>
      <x:c r="Z7" s="11" t="d">
        <x:v>2028-11-01T00:00:00.000Z</x:v>
      </x:c>
      <x:c r="AA7" s="11" t="d">
        <x:v>2028-12-01T00:00:00.000Z</x:v>
      </x:c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21" customHeight="1">
      <x:c r="A9" s="1"/>
      <x:c r="B9" s="1"/>
      <x:c r="C9" s="1" t="str">
        <x:v>Opening customers · Dec-26</x:v>
      </x:c>
      <x:c r="D9" s="35" t="n">
        <x:v>400</x:v>
      </x:c>
      <x:c r="E9" s="1"/>
      <x:c r="F9" s="1"/>
      <x:c r="G9" s="1"/>
      <x:c r="H9" s="1" t="str">
        <x:v>All numeric assumptions are invented for this portfolio simulation.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</x:row>
    <x:row r="10" ht="21" customHeight="1">
      <x:c r="A10" s="1"/>
      <x:c r="B10" s="1"/>
      <x:c r="C10" s="1" t="str">
        <x:v>Opening MRR · Dec-26</x:v>
      </x:c>
      <x:c r="D10" s="23" t="n">
        <x:v>100000</x:v>
      </x:c>
      <x:c r="E10" s="1"/>
      <x:c r="F10" s="1"/>
      <x:c r="G10" s="1"/>
      <x:c r="H10" s="1" t="str">
        <x:v>Blue text / pale amber = editable. Green = linked formula.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</x:row>
    <x:row r="11" ht="21" customHeight="1">
      <x:c r="A11" s="1"/>
      <x:c r="B11" s="1"/>
      <x:c r="C11" s="1" t="str">
        <x:v>Opening cash · Dec-26</x:v>
      </x:c>
      <x:c r="D11" s="23" t="n">
        <x:v>450000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</x:row>
    <x:row r="15" ht="21" customHeight="1">
      <x:c r="A15" s="1"/>
      <x:c r="B15" s="1"/>
      <x:c r="C15" s="19" t="str">
        <x:v>Acquisition sales &amp; marketing · Active</x:v>
      </x:c>
      <x:c r="D15" s="21" t="n">
        <x:f>IF(CHOOSE($D$5,ISBLANK(D16),ISBLANK(D17),ISBLANK(D18)),NA(),CHOOSE($D$5,D16,D17,D18))</x:f>
        <x:v>45000</x:v>
      </x:c>
      <x:c r="E15" s="21" t="n">
        <x:f>IF(CHOOSE($D$5,ISBLANK(E16),ISBLANK(E17),ISBLANK(E18)),NA(),CHOOSE($D$5,E16,E17,E18))</x:f>
        <x:v>46350</x:v>
      </x:c>
      <x:c r="F15" s="21" t="n">
        <x:f>IF(CHOOSE($D$5,ISBLANK(F16),ISBLANK(F17),ISBLANK(F18)),NA(),CHOOSE($D$5,F16,F17,F18))</x:f>
        <x:v>47740.5</x:v>
      </x:c>
      <x:c r="G15" s="21" t="n">
        <x:f>IF(CHOOSE($D$5,ISBLANK(G16),ISBLANK(G17),ISBLANK(G18)),NA(),CHOOSE($D$5,G16,G17,G18))</x:f>
        <x:v>49172.715000000004</x:v>
      </x:c>
      <x:c r="H15" s="21" t="n">
        <x:f>IF(CHOOSE($D$5,ISBLANK(H16),ISBLANK(H17),ISBLANK(H18)),NA(),CHOOSE($D$5,H16,H17,H18))</x:f>
        <x:v>50647.89645000001</x:v>
      </x:c>
      <x:c r="I15" s="21" t="n">
        <x:f>IF(CHOOSE($D$5,ISBLANK(I16),ISBLANK(I17),ISBLANK(I18)),NA(),CHOOSE($D$5,I16,I17,I18))</x:f>
        <x:v>52167.3333435</x:v>
      </x:c>
      <x:c r="J15" s="21" t="n">
        <x:f>IF(CHOOSE($D$5,ISBLANK(J16),ISBLANK(J17),ISBLANK(J18)),NA(),CHOOSE($D$5,J16,J17,J18))</x:f>
        <x:v>53732.35334380501</x:v>
      </x:c>
      <x:c r="K15" s="21" t="n">
        <x:f>IF(CHOOSE($D$5,ISBLANK(K16),ISBLANK(K17),ISBLANK(K18)),NA(),CHOOSE($D$5,K16,K17,K18))</x:f>
        <x:v>55344.32394411916</x:v>
      </x:c>
      <x:c r="L15" s="21" t="n">
        <x:f>IF(CHOOSE($D$5,ISBLANK(L16),ISBLANK(L17),ISBLANK(L18)),NA(),CHOOSE($D$5,L16,L17,L18))</x:f>
        <x:v>57004.65366244274</x:v>
      </x:c>
      <x:c r="M15" s="21" t="n">
        <x:f>IF(CHOOSE($D$5,ISBLANK(M16),ISBLANK(M17),ISBLANK(M18)),NA(),CHOOSE($D$5,M16,M17,M18))</x:f>
        <x:v>58714.79327231602</x:v>
      </x:c>
      <x:c r="N15" s="21" t="n">
        <x:f>IF(CHOOSE($D$5,ISBLANK(N16),ISBLANK(N17),ISBLANK(N18)),NA(),CHOOSE($D$5,N16,N17,N18))</x:f>
        <x:v>60476.2370704855</x:v>
      </x:c>
      <x:c r="O15" s="21" t="n">
        <x:f>IF(CHOOSE($D$5,ISBLANK(O16),ISBLANK(O17),ISBLANK(O18)),NA(),CHOOSE($D$5,O16,O17,O18))</x:f>
        <x:v>62290.524182600064</x:v>
      </x:c>
      <x:c r="P15" s="21" t="n">
        <x:f>IF(CHOOSE($D$5,ISBLANK(P16),ISBLANK(P17),ISBLANK(P18)),NA(),CHOOSE($D$5,P16,P17,P18))</x:f>
        <x:v>64159.23990807807</x:v>
      </x:c>
      <x:c r="Q15" s="21" t="n">
        <x:f>IF(CHOOSE($D$5,ISBLANK(Q16),ISBLANK(Q17),ISBLANK(Q18)),NA(),CHOOSE($D$5,Q16,Q17,Q18))</x:f>
        <x:v>66084.01710532041</x:v>
      </x:c>
      <x:c r="R15" s="21" t="n">
        <x:f>IF(CHOOSE($D$5,ISBLANK(R16),ISBLANK(R17),ISBLANK(R18)),NA(),CHOOSE($D$5,R16,R17,R18))</x:f>
        <x:v>68066.53761848004</x:v>
      </x:c>
      <x:c r="S15" s="21" t="n">
        <x:f>IF(CHOOSE($D$5,ISBLANK(S16),ISBLANK(S17),ISBLANK(S18)),NA(),CHOOSE($D$5,S16,S17,S18))</x:f>
        <x:v>70108.53374703442</x:v>
      </x:c>
      <x:c r="T15" s="21" t="n">
        <x:f>IF(CHOOSE($D$5,ISBLANK(T16),ISBLANK(T17),ISBLANK(T18)),NA(),CHOOSE($D$5,T16,T17,T18))</x:f>
        <x:v>72211.78975944547</x:v>
      </x:c>
      <x:c r="U15" s="21" t="n">
        <x:f>IF(CHOOSE($D$5,ISBLANK(U16),ISBLANK(U17),ISBLANK(U18)),NA(),CHOOSE($D$5,U16,U17,U18))</x:f>
        <x:v>74378.14345222883</x:v>
      </x:c>
      <x:c r="V15" s="21" t="n">
        <x:f>IF(CHOOSE($D$5,ISBLANK(V16),ISBLANK(V17),ISBLANK(V18)),NA(),CHOOSE($D$5,V16,V17,V18))</x:f>
        <x:v>76609.48775579571</x:v>
      </x:c>
      <x:c r="W15" s="21" t="n">
        <x:f>IF(CHOOSE($D$5,ISBLANK(W16),ISBLANK(W17),ISBLANK(W18)),NA(),CHOOSE($D$5,W16,W17,W18))</x:f>
        <x:v>78907.77238846957</x:v>
      </x:c>
      <x:c r="X15" s="21" t="n">
        <x:f>IF(CHOOSE($D$5,ISBLANK(X16),ISBLANK(X17),ISBLANK(X18)),NA(),CHOOSE($D$5,X16,X17,X18))</x:f>
        <x:v>81275.00556012367</x:v>
      </x:c>
      <x:c r="Y15" s="21" t="n">
        <x:f>IF(CHOOSE($D$5,ISBLANK(Y16),ISBLANK(Y17),ISBLANK(Y18)),NA(),CHOOSE($D$5,Y16,Y17,Y18))</x:f>
        <x:v>83713.25572692737</x:v>
      </x:c>
      <x:c r="Z15" s="21" t="n">
        <x:f>IF(CHOOSE($D$5,ISBLANK(Z16),ISBLANK(Z17),ISBLANK(Z18)),NA(),CHOOSE($D$5,Z16,Z17,Z18))</x:f>
        <x:v>86224.6533987352</x:v>
      </x:c>
      <x:c r="AA15" s="21" t="n">
        <x:f>IF(CHOOSE($D$5,ISBLANK(AA16),ISBLANK(AA17),ISBLANK(AA18)),NA(),CHOOSE($D$5,AA16,AA17,AA18))</x:f>
        <x:v>88811.39300069727</x:v>
      </x:c>
    </x:row>
    <x:row r="16" ht="21" customHeight="1">
      <x:c r="A16" s="1"/>
      <x:c r="B16" s="1"/>
      <x:c r="C16" s="1" t="str">
        <x:v>Base</x:v>
      </x:c>
      <x:c r="D16" s="23" t="n">
        <x:v>45000</x:v>
      </x:c>
      <x:c r="E16" s="23" t="n">
        <x:v>46350</x:v>
      </x:c>
      <x:c r="F16" s="23" t="n">
        <x:v>47740.5</x:v>
      </x:c>
      <x:c r="G16" s="23" t="n">
        <x:v>49172.715000000004</x:v>
      </x:c>
      <x:c r="H16" s="23" t="n">
        <x:v>50647.89645000001</x:v>
      </x:c>
      <x:c r="I16" s="23" t="n">
        <x:v>52167.3333435</x:v>
      </x:c>
      <x:c r="J16" s="23" t="n">
        <x:v>53732.35334380501</x:v>
      </x:c>
      <x:c r="K16" s="23" t="n">
        <x:v>55344.32394411916</x:v>
      </x:c>
      <x:c r="L16" s="23" t="n">
        <x:v>57004.65366244274</x:v>
      </x:c>
      <x:c r="M16" s="23" t="n">
        <x:v>58714.79327231602</x:v>
      </x:c>
      <x:c r="N16" s="23" t="n">
        <x:v>60476.2370704855</x:v>
      </x:c>
      <x:c r="O16" s="23" t="n">
        <x:v>62290.524182600064</x:v>
      </x:c>
      <x:c r="P16" s="23" t="n">
        <x:v>64159.23990807807</x:v>
      </x:c>
      <x:c r="Q16" s="23" t="n">
        <x:v>66084.01710532041</x:v>
      </x:c>
      <x:c r="R16" s="23" t="n">
        <x:v>68066.53761848004</x:v>
      </x:c>
      <x:c r="S16" s="23" t="n">
        <x:v>70108.53374703442</x:v>
      </x:c>
      <x:c r="T16" s="23" t="n">
        <x:v>72211.78975944547</x:v>
      </x:c>
      <x:c r="U16" s="23" t="n">
        <x:v>74378.14345222883</x:v>
      </x:c>
      <x:c r="V16" s="23" t="n">
        <x:v>76609.48775579571</x:v>
      </x:c>
      <x:c r="W16" s="23" t="n">
        <x:v>78907.77238846957</x:v>
      </x:c>
      <x:c r="X16" s="23" t="n">
        <x:v>81275.00556012367</x:v>
      </x:c>
      <x:c r="Y16" s="23" t="n">
        <x:v>83713.25572692737</x:v>
      </x:c>
      <x:c r="Z16" s="23" t="n">
        <x:v>86224.6533987352</x:v>
      </x:c>
      <x:c r="AA16" s="23" t="n">
        <x:v>88811.39300069727</x:v>
      </x:c>
    </x:row>
    <x:row r="17" ht="21" customHeight="1">
      <x:c r="A17" s="1"/>
      <x:c r="B17" s="1"/>
      <x:c r="C17" s="1" t="str">
        <x:v>Downside</x:v>
      </x:c>
      <x:c r="D17" s="23" t="n">
        <x:v>45000</x:v>
      </x:c>
      <x:c r="E17" s="23" t="n">
        <x:v>46350</x:v>
      </x:c>
      <x:c r="F17" s="23" t="n">
        <x:v>47740.5</x:v>
      </x:c>
      <x:c r="G17" s="23" t="n">
        <x:v>49172.715000000004</x:v>
      </x:c>
      <x:c r="H17" s="23" t="n">
        <x:v>50647.89645000001</x:v>
      </x:c>
      <x:c r="I17" s="23" t="n">
        <x:v>52167.3333435</x:v>
      </x:c>
      <x:c r="J17" s="23" t="n">
        <x:v>53732.35334380501</x:v>
      </x:c>
      <x:c r="K17" s="23" t="n">
        <x:v>55344.32394411916</x:v>
      </x:c>
      <x:c r="L17" s="23" t="n">
        <x:v>57004.65366244274</x:v>
      </x:c>
      <x:c r="M17" s="23" t="n">
        <x:v>58714.79327231602</x:v>
      </x:c>
      <x:c r="N17" s="23" t="n">
        <x:v>60476.2370704855</x:v>
      </x:c>
      <x:c r="O17" s="23" t="n">
        <x:v>62290.524182600064</x:v>
      </x:c>
      <x:c r="P17" s="23" t="n">
        <x:v>64159.23990807807</x:v>
      </x:c>
      <x:c r="Q17" s="23" t="n">
        <x:v>66084.01710532041</x:v>
      </x:c>
      <x:c r="R17" s="23" t="n">
        <x:v>68066.53761848004</x:v>
      </x:c>
      <x:c r="S17" s="23" t="n">
        <x:v>70108.53374703442</x:v>
      </x:c>
      <x:c r="T17" s="23" t="n">
        <x:v>72211.78975944547</x:v>
      </x:c>
      <x:c r="U17" s="23" t="n">
        <x:v>74378.14345222883</x:v>
      </x:c>
      <x:c r="V17" s="23" t="n">
        <x:v>76609.48775579571</x:v>
      </x:c>
      <x:c r="W17" s="23" t="n">
        <x:v>78907.77238846957</x:v>
      </x:c>
      <x:c r="X17" s="23" t="n">
        <x:v>81275.00556012367</x:v>
      </x:c>
      <x:c r="Y17" s="23" t="n">
        <x:v>83713.25572692737</x:v>
      </x:c>
      <x:c r="Z17" s="23" t="n">
        <x:v>86224.6533987352</x:v>
      </x:c>
      <x:c r="AA17" s="23" t="n">
        <x:v>88811.39300069727</x:v>
      </x:c>
    </x:row>
    <x:row r="18" ht="21" customHeight="1">
      <x:c r="A18" s="1"/>
      <x:c r="B18" s="1"/>
      <x:c r="C18" s="1" t="str">
        <x:v>Upside</x:v>
      </x:c>
      <x:c r="D18" s="23" t="n">
        <x:v>55000</x:v>
      </x:c>
      <x:c r="E18" s="23" t="n">
        <x:v>56924.99999999999</x:v>
      </x:c>
      <x:c r="F18" s="23" t="n">
        <x:v>58917.37499999999</x:v>
      </x:c>
      <x:c r="G18" s="23" t="n">
        <x:v>60979.483124999984</x:v>
      </x:c>
      <x:c r="H18" s="23" t="n">
        <x:v>63113.765034374985</x:v>
      </x:c>
      <x:c r="I18" s="23" t="n">
        <x:v>65322.7468105781</x:v>
      </x:c>
      <x:c r="J18" s="23" t="n">
        <x:v>67609.04294894832</x:v>
      </x:c>
      <x:c r="K18" s="23" t="n">
        <x:v>69975.3594521615</x:v>
      </x:c>
      <x:c r="L18" s="23" t="n">
        <x:v>72424.49703298716</x:v>
      </x:c>
      <x:c r="M18" s="23" t="n">
        <x:v>74959.3544291417</x:v>
      </x:c>
      <x:c r="N18" s="23" t="n">
        <x:v>77582.93183416166</x:v>
      </x:c>
      <x:c r="O18" s="23" t="n">
        <x:v>80298.33444835732</x:v>
      </x:c>
      <x:c r="P18" s="23" t="n">
        <x:v>83108.77615404982</x:v>
      </x:c>
      <x:c r="Q18" s="23" t="n">
        <x:v>86017.58331944155</x:v>
      </x:c>
      <x:c r="R18" s="23" t="n">
        <x:v>89028.19873562199</x:v>
      </x:c>
      <x:c r="S18" s="23" t="n">
        <x:v>92144.18569136877</x:v>
      </x:c>
      <x:c r="T18" s="23" t="n">
        <x:v>95369.23219056666</x:v>
      </x:c>
      <x:c r="U18" s="23" t="n">
        <x:v>98707.15531723648</x:v>
      </x:c>
      <x:c r="V18" s="23" t="n">
        <x:v>102161.90575333974</x:v>
      </x:c>
      <x:c r="W18" s="23" t="n">
        <x:v>105737.57245470663</x:v>
      </x:c>
      <x:c r="X18" s="23" t="n">
        <x:v>109438.38749062136</x:v>
      </x:c>
      <x:c r="Y18" s="23" t="n">
        <x:v>113268.7310527931</x:v>
      </x:c>
      <x:c r="Z18" s="23" t="n">
        <x:v>117233.13663964084</x:v>
      </x:c>
      <x:c r="AA18" s="23" t="n">
        <x:v>121336.29642202827</x:v>
      </x:c>
    </x:row>
    <x:row r="19" ht="21" customHeight="1">
      <x:c r="A19" s="1"/>
      <x:c r="B19" s="1"/>
      <x:c r="C19" s="19" t="str">
        <x:v>Target CAC ($ / new customer) · Active</x:v>
      </x:c>
      <x:c r="D19" s="21" t="n">
        <x:f>IF(CHOOSE($D$5,ISBLANK(D20),ISBLANK(D21),ISBLANK(D22)),NA(),CHOOSE($D$5,D20,D21,D22))</x:f>
        <x:v>1800</x:v>
      </x:c>
      <x:c r="E19" s="21" t="n">
        <x:f>IF(CHOOSE($D$5,ISBLANK(E20),ISBLANK(E21),ISBLANK(E22)),NA(),CHOOSE($D$5,E20,E21,E22))</x:f>
        <x:v>1800</x:v>
      </x:c>
      <x:c r="F19" s="21" t="n">
        <x:f>IF(CHOOSE($D$5,ISBLANK(F20),ISBLANK(F21),ISBLANK(F22)),NA(),CHOOSE($D$5,F20,F21,F22))</x:f>
        <x:v>1800</x:v>
      </x:c>
      <x:c r="G19" s="21" t="n">
        <x:f>IF(CHOOSE($D$5,ISBLANK(G20),ISBLANK(G21),ISBLANK(G22)),NA(),CHOOSE($D$5,G20,G21,G22))</x:f>
        <x:v>1800</x:v>
      </x:c>
      <x:c r="H19" s="21" t="n">
        <x:f>IF(CHOOSE($D$5,ISBLANK(H20),ISBLANK(H21),ISBLANK(H22)),NA(),CHOOSE($D$5,H20,H21,H22))</x:f>
        <x:v>1800</x:v>
      </x:c>
      <x:c r="I19" s="21" t="n">
        <x:f>IF(CHOOSE($D$5,ISBLANK(I20),ISBLANK(I21),ISBLANK(I22)),NA(),CHOOSE($D$5,I20,I21,I22))</x:f>
        <x:v>1800</x:v>
      </x:c>
      <x:c r="J19" s="21" t="n">
        <x:f>IF(CHOOSE($D$5,ISBLANK(J20),ISBLANK(J21),ISBLANK(J22)),NA(),CHOOSE($D$5,J20,J21,J22))</x:f>
        <x:v>1800</x:v>
      </x:c>
      <x:c r="K19" s="21" t="n">
        <x:f>IF(CHOOSE($D$5,ISBLANK(K20),ISBLANK(K21),ISBLANK(K22)),NA(),CHOOSE($D$5,K20,K21,K22))</x:f>
        <x:v>1800</x:v>
      </x:c>
      <x:c r="L19" s="21" t="n">
        <x:f>IF(CHOOSE($D$5,ISBLANK(L20),ISBLANK(L21),ISBLANK(L22)),NA(),CHOOSE($D$5,L20,L21,L22))</x:f>
        <x:v>1800</x:v>
      </x:c>
      <x:c r="M19" s="21" t="n">
        <x:f>IF(CHOOSE($D$5,ISBLANK(M20),ISBLANK(M21),ISBLANK(M22)),NA(),CHOOSE($D$5,M20,M21,M22))</x:f>
        <x:v>1800</x:v>
      </x:c>
      <x:c r="N19" s="21" t="n">
        <x:f>IF(CHOOSE($D$5,ISBLANK(N20),ISBLANK(N21),ISBLANK(N22)),NA(),CHOOSE($D$5,N20,N21,N22))</x:f>
        <x:v>1800</x:v>
      </x:c>
      <x:c r="O19" s="21" t="n">
        <x:f>IF(CHOOSE($D$5,ISBLANK(O20),ISBLANK(O21),ISBLANK(O22)),NA(),CHOOSE($D$5,O20,O21,O22))</x:f>
        <x:v>1800</x:v>
      </x:c>
      <x:c r="P19" s="21" t="n">
        <x:f>IF(CHOOSE($D$5,ISBLANK(P20),ISBLANK(P21),ISBLANK(P22)),NA(),CHOOSE($D$5,P20,P21,P22))</x:f>
        <x:v>1800</x:v>
      </x:c>
      <x:c r="Q19" s="21" t="n">
        <x:f>IF(CHOOSE($D$5,ISBLANK(Q20),ISBLANK(Q21),ISBLANK(Q22)),NA(),CHOOSE($D$5,Q20,Q21,Q22))</x:f>
        <x:v>1800</x:v>
      </x:c>
      <x:c r="R19" s="21" t="n">
        <x:f>IF(CHOOSE($D$5,ISBLANK(R20),ISBLANK(R21),ISBLANK(R22)),NA(),CHOOSE($D$5,R20,R21,R22))</x:f>
        <x:v>1800</x:v>
      </x:c>
      <x:c r="S19" s="21" t="n">
        <x:f>IF(CHOOSE($D$5,ISBLANK(S20),ISBLANK(S21),ISBLANK(S22)),NA(),CHOOSE($D$5,S20,S21,S22))</x:f>
        <x:v>1800</x:v>
      </x:c>
      <x:c r="T19" s="21" t="n">
        <x:f>IF(CHOOSE($D$5,ISBLANK(T20),ISBLANK(T21),ISBLANK(T22)),NA(),CHOOSE($D$5,T20,T21,T22))</x:f>
        <x:v>1800</x:v>
      </x:c>
      <x:c r="U19" s="21" t="n">
        <x:f>IF(CHOOSE($D$5,ISBLANK(U20),ISBLANK(U21),ISBLANK(U22)),NA(),CHOOSE($D$5,U20,U21,U22))</x:f>
        <x:v>1800</x:v>
      </x:c>
      <x:c r="V19" s="21" t="n">
        <x:f>IF(CHOOSE($D$5,ISBLANK(V20),ISBLANK(V21),ISBLANK(V22)),NA(),CHOOSE($D$5,V20,V21,V22))</x:f>
        <x:v>1800</x:v>
      </x:c>
      <x:c r="W19" s="21" t="n">
        <x:f>IF(CHOOSE($D$5,ISBLANK(W20),ISBLANK(W21),ISBLANK(W22)),NA(),CHOOSE($D$5,W20,W21,W22))</x:f>
        <x:v>1800</x:v>
      </x:c>
      <x:c r="X19" s="21" t="n">
        <x:f>IF(CHOOSE($D$5,ISBLANK(X20),ISBLANK(X21),ISBLANK(X22)),NA(),CHOOSE($D$5,X20,X21,X22))</x:f>
        <x:v>1800</x:v>
      </x:c>
      <x:c r="Y19" s="21" t="n">
        <x:f>IF(CHOOSE($D$5,ISBLANK(Y20),ISBLANK(Y21),ISBLANK(Y22)),NA(),CHOOSE($D$5,Y20,Y21,Y22))</x:f>
        <x:v>1800</x:v>
      </x:c>
      <x:c r="Z19" s="21" t="n">
        <x:f>IF(CHOOSE($D$5,ISBLANK(Z20),ISBLANK(Z21),ISBLANK(Z22)),NA(),CHOOSE($D$5,Z20,Z21,Z22))</x:f>
        <x:v>1800</x:v>
      </x:c>
      <x:c r="AA19" s="21" t="n">
        <x:f>IF(CHOOSE($D$5,ISBLANK(AA20),ISBLANK(AA21),ISBLANK(AA22)),NA(),CHOOSE($D$5,AA20,AA21,AA22))</x:f>
        <x:v>1800</x:v>
      </x:c>
    </x:row>
    <x:row r="20" ht="21" customHeight="1">
      <x:c r="A20" s="1"/>
      <x:c r="B20" s="1"/>
      <x:c r="C20" s="1" t="str">
        <x:v>Base</x:v>
      </x:c>
      <x:c r="D20" s="23" t="n">
        <x:v>1800</x:v>
      </x:c>
      <x:c r="E20" s="23" t="n">
        <x:v>1800</x:v>
      </x:c>
      <x:c r="F20" s="23" t="n">
        <x:v>1800</x:v>
      </x:c>
      <x:c r="G20" s="23" t="n">
        <x:v>1800</x:v>
      </x:c>
      <x:c r="H20" s="23" t="n">
        <x:v>1800</x:v>
      </x:c>
      <x:c r="I20" s="23" t="n">
        <x:v>1800</x:v>
      </x:c>
      <x:c r="J20" s="23" t="n">
        <x:v>1800</x:v>
      </x:c>
      <x:c r="K20" s="23" t="n">
        <x:v>1800</x:v>
      </x:c>
      <x:c r="L20" s="23" t="n">
        <x:v>1800</x:v>
      </x:c>
      <x:c r="M20" s="23" t="n">
        <x:v>1800</x:v>
      </x:c>
      <x:c r="N20" s="23" t="n">
        <x:v>1800</x:v>
      </x:c>
      <x:c r="O20" s="23" t="n">
        <x:v>1800</x:v>
      </x:c>
      <x:c r="P20" s="23" t="n">
        <x:v>1800</x:v>
      </x:c>
      <x:c r="Q20" s="23" t="n">
        <x:v>1800</x:v>
      </x:c>
      <x:c r="R20" s="23" t="n">
        <x:v>1800</x:v>
      </x:c>
      <x:c r="S20" s="23" t="n">
        <x:v>1800</x:v>
      </x:c>
      <x:c r="T20" s="23" t="n">
        <x:v>1800</x:v>
      </x:c>
      <x:c r="U20" s="23" t="n">
        <x:v>1800</x:v>
      </x:c>
      <x:c r="V20" s="23" t="n">
        <x:v>1800</x:v>
      </x:c>
      <x:c r="W20" s="23" t="n">
        <x:v>1800</x:v>
      </x:c>
      <x:c r="X20" s="23" t="n">
        <x:v>1800</x:v>
      </x:c>
      <x:c r="Y20" s="23" t="n">
        <x:v>1800</x:v>
      </x:c>
      <x:c r="Z20" s="23" t="n">
        <x:v>1800</x:v>
      </x:c>
      <x:c r="AA20" s="23" t="n">
        <x:v>1800</x:v>
      </x:c>
    </x:row>
    <x:row r="21" ht="21" customHeight="1">
      <x:c r="A21" s="1"/>
      <x:c r="B21" s="1"/>
      <x:c r="C21" s="1" t="str">
        <x:v>Downside</x:v>
      </x:c>
      <x:c r="D21" s="23" t="n">
        <x:v>2400</x:v>
      </x:c>
      <x:c r="E21" s="23" t="n">
        <x:v>2400</x:v>
      </x:c>
      <x:c r="F21" s="23" t="n">
        <x:v>2400</x:v>
      </x:c>
      <x:c r="G21" s="23" t="n">
        <x:v>2400</x:v>
      </x:c>
      <x:c r="H21" s="23" t="n">
        <x:v>2400</x:v>
      </x:c>
      <x:c r="I21" s="23" t="n">
        <x:v>2400</x:v>
      </x:c>
      <x:c r="J21" s="23" t="n">
        <x:v>2400</x:v>
      </x:c>
      <x:c r="K21" s="23" t="n">
        <x:v>2400</x:v>
      </x:c>
      <x:c r="L21" s="23" t="n">
        <x:v>2400</x:v>
      </x:c>
      <x:c r="M21" s="23" t="n">
        <x:v>2400</x:v>
      </x:c>
      <x:c r="N21" s="23" t="n">
        <x:v>2400</x:v>
      </x:c>
      <x:c r="O21" s="23" t="n">
        <x:v>2400</x:v>
      </x:c>
      <x:c r="P21" s="23" t="n">
        <x:v>2400</x:v>
      </x:c>
      <x:c r="Q21" s="23" t="n">
        <x:v>2400</x:v>
      </x:c>
      <x:c r="R21" s="23" t="n">
        <x:v>2400</x:v>
      </x:c>
      <x:c r="S21" s="23" t="n">
        <x:v>2400</x:v>
      </x:c>
      <x:c r="T21" s="23" t="n">
        <x:v>2400</x:v>
      </x:c>
      <x:c r="U21" s="23" t="n">
        <x:v>2400</x:v>
      </x:c>
      <x:c r="V21" s="23" t="n">
        <x:v>2400</x:v>
      </x:c>
      <x:c r="W21" s="23" t="n">
        <x:v>2400</x:v>
      </x:c>
      <x:c r="X21" s="23" t="n">
        <x:v>2400</x:v>
      </x:c>
      <x:c r="Y21" s="23" t="n">
        <x:v>2400</x:v>
      </x:c>
      <x:c r="Z21" s="23" t="n">
        <x:v>2400</x:v>
      </x:c>
      <x:c r="AA21" s="23" t="n">
        <x:v>2400</x:v>
      </x:c>
    </x:row>
    <x:row r="22" ht="21" customHeight="1">
      <x:c r="A22" s="1"/>
      <x:c r="B22" s="1"/>
      <x:c r="C22" s="1" t="str">
        <x:v>Upside</x:v>
      </x:c>
      <x:c r="D22" s="23" t="n">
        <x:v>1500</x:v>
      </x:c>
      <x:c r="E22" s="23" t="n">
        <x:v>1500</x:v>
      </x:c>
      <x:c r="F22" s="23" t="n">
        <x:v>1500</x:v>
      </x:c>
      <x:c r="G22" s="23" t="n">
        <x:v>1500</x:v>
      </x:c>
      <x:c r="H22" s="23" t="n">
        <x:v>1500</x:v>
      </x:c>
      <x:c r="I22" s="23" t="n">
        <x:v>1500</x:v>
      </x:c>
      <x:c r="J22" s="23" t="n">
        <x:v>1500</x:v>
      </x:c>
      <x:c r="K22" s="23" t="n">
        <x:v>1500</x:v>
      </x:c>
      <x:c r="L22" s="23" t="n">
        <x:v>1500</x:v>
      </x:c>
      <x:c r="M22" s="23" t="n">
        <x:v>1500</x:v>
      </x:c>
      <x:c r="N22" s="23" t="n">
        <x:v>1500</x:v>
      </x:c>
      <x:c r="O22" s="23" t="n">
        <x:v>1500</x:v>
      </x:c>
      <x:c r="P22" s="23" t="n">
        <x:v>1500</x:v>
      </x:c>
      <x:c r="Q22" s="23" t="n">
        <x:v>1500</x:v>
      </x:c>
      <x:c r="R22" s="23" t="n">
        <x:v>1500</x:v>
      </x:c>
      <x:c r="S22" s="23" t="n">
        <x:v>1500</x:v>
      </x:c>
      <x:c r="T22" s="23" t="n">
        <x:v>1500</x:v>
      </x:c>
      <x:c r="U22" s="23" t="n">
        <x:v>1500</x:v>
      </x:c>
      <x:c r="V22" s="23" t="n">
        <x:v>1500</x:v>
      </x:c>
      <x:c r="W22" s="23" t="n">
        <x:v>1500</x:v>
      </x:c>
      <x:c r="X22" s="23" t="n">
        <x:v>1500</x:v>
      </x:c>
      <x:c r="Y22" s="23" t="n">
        <x:v>1500</x:v>
      </x:c>
      <x:c r="Z22" s="23" t="n">
        <x:v>1500</x:v>
      </x:c>
      <x:c r="AA22" s="23" t="n">
        <x:v>1500</x:v>
      </x:c>
    </x:row>
    <x:row r="23" ht="21" customHeight="1">
      <x:c r="A23" s="1"/>
      <x:c r="B23" s="1"/>
      <x:c r="C23" s="19" t="str">
        <x:v>New customer monthly ARPA · Active</x:v>
      </x:c>
      <x:c r="D23" s="21" t="n">
        <x:f>IF(CHOOSE($D$5,ISBLANK(D24),ISBLANK(D25),ISBLANK(D26)),NA(),CHOOSE($D$5,D24,D25,D26))</x:f>
        <x:v>250</x:v>
      </x:c>
      <x:c r="E23" s="21" t="n">
        <x:f>IF(CHOOSE($D$5,ISBLANK(E24),ISBLANK(E25),ISBLANK(E26)),NA(),CHOOSE($D$5,E24,E25,E26))</x:f>
        <x:v>250.5</x:v>
      </x:c>
      <x:c r="F23" s="21" t="n">
        <x:f>IF(CHOOSE($D$5,ISBLANK(F24),ISBLANK(F25),ISBLANK(F26)),NA(),CHOOSE($D$5,F24,F25,F26))</x:f>
        <x:v>251.00099999999998</x:v>
      </x:c>
      <x:c r="G23" s="21" t="n">
        <x:f>IF(CHOOSE($D$5,ISBLANK(G24),ISBLANK(G25),ISBLANK(G26)),NA(),CHOOSE($D$5,G24,G25,G26))</x:f>
        <x:v>251.50300199999998</x:v>
      </x:c>
      <x:c r="H23" s="21" t="n">
        <x:f>IF(CHOOSE($D$5,ISBLANK(H24),ISBLANK(H25),ISBLANK(H26)),NA(),CHOOSE($D$5,H24,H25,H26))</x:f>
        <x:v>252.00600800400002</x:v>
      </x:c>
      <x:c r="I23" s="21" t="n">
        <x:f>IF(CHOOSE($D$5,ISBLANK(I24),ISBLANK(I25),ISBLANK(I26)),NA(),CHOOSE($D$5,I24,I25,I26))</x:f>
        <x:v>252.510020020008</x:v>
      </x:c>
      <x:c r="J23" s="21" t="n">
        <x:f>IF(CHOOSE($D$5,ISBLANK(J24),ISBLANK(J25),ISBLANK(J26)),NA(),CHOOSE($D$5,J24,J25,J26))</x:f>
        <x:v>253.015040060048</x:v>
      </x:c>
      <x:c r="K23" s="21" t="n">
        <x:f>IF(CHOOSE($D$5,ISBLANK(K24),ISBLANK(K25),ISBLANK(K26)),NA(),CHOOSE($D$5,K24,K25,K26))</x:f>
        <x:v>253.52107014016812</x:v>
      </x:c>
      <x:c r="L23" s="21" t="n">
        <x:f>IF(CHOOSE($D$5,ISBLANK(L24),ISBLANK(L25),ISBLANK(L26)),NA(),CHOOSE($D$5,L24,L25,L26))</x:f>
        <x:v>254.02811228044848</x:v>
      </x:c>
      <x:c r="M23" s="21" t="n">
        <x:f>IF(CHOOSE($D$5,ISBLANK(M24),ISBLANK(M25),ISBLANK(M26)),NA(),CHOOSE($D$5,M24,M25,M26))</x:f>
        <x:v>254.53616850500939</x:v>
      </x:c>
      <x:c r="N23" s="21" t="n">
        <x:f>IF(CHOOSE($D$5,ISBLANK(N24),ISBLANK(N25),ISBLANK(N26)),NA(),CHOOSE($D$5,N24,N25,N26))</x:f>
        <x:v>255.04524084201935</x:v>
      </x:c>
      <x:c r="O23" s="21" t="n">
        <x:f>IF(CHOOSE($D$5,ISBLANK(O24),ISBLANK(O25),ISBLANK(O26)),NA(),CHOOSE($D$5,O24,O25,O26))</x:f>
        <x:v>255.5553313237034</x:v>
      </x:c>
      <x:c r="P23" s="21" t="n">
        <x:f>IF(CHOOSE($D$5,ISBLANK(P24),ISBLANK(P25),ISBLANK(P26)),NA(),CHOOSE($D$5,P24,P25,P26))</x:f>
        <x:v>256.0664419863508</x:v>
      </x:c>
      <x:c r="Q23" s="21" t="n">
        <x:f>IF(CHOOSE($D$5,ISBLANK(Q24),ISBLANK(Q25),ISBLANK(Q26)),NA(),CHOOSE($D$5,Q24,Q25,Q26))</x:f>
        <x:v>256.57857487032356</x:v>
      </x:c>
      <x:c r="R23" s="21" t="n">
        <x:f>IF(CHOOSE($D$5,ISBLANK(R24),ISBLANK(R25),ISBLANK(R26)),NA(),CHOOSE($D$5,R24,R25,R26))</x:f>
        <x:v>257.09173202006417</x:v>
      </x:c>
      <x:c r="S23" s="21" t="n">
        <x:f>IF(CHOOSE($D$5,ISBLANK(S24),ISBLANK(S25),ISBLANK(S26)),NA(),CHOOSE($D$5,S24,S25,S26))</x:f>
        <x:v>257.6059154841043</x:v>
      </x:c>
      <x:c r="T23" s="21" t="n">
        <x:f>IF(CHOOSE($D$5,ISBLANK(T24),ISBLANK(T25),ISBLANK(T26)),NA(),CHOOSE($D$5,T24,T25,T26))</x:f>
        <x:v>258.12112731507256</x:v>
      </x:c>
      <x:c r="U23" s="21" t="n">
        <x:f>IF(CHOOSE($D$5,ISBLANK(U24),ISBLANK(U25),ISBLANK(U26)),NA(),CHOOSE($D$5,U24,U25,U26))</x:f>
        <x:v>258.6373695697026</x:v>
      </x:c>
      <x:c r="V23" s="21" t="n">
        <x:f>IF(CHOOSE($D$5,ISBLANK(V24),ISBLANK(V25),ISBLANK(V26)),NA(),CHOOSE($D$5,V24,V25,V26))</x:f>
        <x:v>259.1546443088421</x:v>
      </x:c>
      <x:c r="W23" s="21" t="n">
        <x:f>IF(CHOOSE($D$5,ISBLANK(W24),ISBLANK(W25),ISBLANK(W26)),NA(),CHOOSE($D$5,W24,W25,W26))</x:f>
        <x:v>259.67295359745975</x:v>
      </x:c>
      <x:c r="X23" s="21" t="n">
        <x:f>IF(CHOOSE($D$5,ISBLANK(X24),ISBLANK(X25),ISBLANK(X26)),NA(),CHOOSE($D$5,X24,X25,X26))</x:f>
        <x:v>260.19229950465467</x:v>
      </x:c>
      <x:c r="Y23" s="21" t="n">
        <x:f>IF(CHOOSE($D$5,ISBLANK(Y24),ISBLANK(Y25),ISBLANK(Y26)),NA(),CHOOSE($D$5,Y24,Y25,Y26))</x:f>
        <x:v>260.712684103664</x:v>
      </x:c>
      <x:c r="Z23" s="21" t="n">
        <x:f>IF(CHOOSE($D$5,ISBLANK(Z24),ISBLANK(Z25),ISBLANK(Z26)),NA(),CHOOSE($D$5,Z24,Z25,Z26))</x:f>
        <x:v>261.2341094718713</x:v>
      </x:c>
      <x:c r="AA23" s="21" t="n">
        <x:f>IF(CHOOSE($D$5,ISBLANK(AA24),ISBLANK(AA25),ISBLANK(AA26)),NA(),CHOOSE($D$5,AA24,AA25,AA26))</x:f>
        <x:v>261.75657769081505</x:v>
      </x:c>
    </x:row>
    <x:row r="24" ht="21" customHeight="1">
      <x:c r="A24" s="1"/>
      <x:c r="B24" s="1"/>
      <x:c r="C24" s="1" t="str">
        <x:v>Base</x:v>
      </x:c>
      <x:c r="D24" s="23" t="n">
        <x:v>250</x:v>
      </x:c>
      <x:c r="E24" s="23" t="n">
        <x:v>250.5</x:v>
      </x:c>
      <x:c r="F24" s="23" t="n">
        <x:v>251.00099999999998</x:v>
      </x:c>
      <x:c r="G24" s="23" t="n">
        <x:v>251.50300199999998</x:v>
      </x:c>
      <x:c r="H24" s="23" t="n">
        <x:v>252.00600800400002</x:v>
      </x:c>
      <x:c r="I24" s="23" t="n">
        <x:v>252.510020020008</x:v>
      </x:c>
      <x:c r="J24" s="23" t="n">
        <x:v>253.015040060048</x:v>
      </x:c>
      <x:c r="K24" s="23" t="n">
        <x:v>253.52107014016812</x:v>
      </x:c>
      <x:c r="L24" s="23" t="n">
        <x:v>254.02811228044848</x:v>
      </x:c>
      <x:c r="M24" s="23" t="n">
        <x:v>254.53616850500939</x:v>
      </x:c>
      <x:c r="N24" s="23" t="n">
        <x:v>255.04524084201935</x:v>
      </x:c>
      <x:c r="O24" s="23" t="n">
        <x:v>255.5553313237034</x:v>
      </x:c>
      <x:c r="P24" s="23" t="n">
        <x:v>256.0664419863508</x:v>
      </x:c>
      <x:c r="Q24" s="23" t="n">
        <x:v>256.57857487032356</x:v>
      </x:c>
      <x:c r="R24" s="23" t="n">
        <x:v>257.09173202006417</x:v>
      </x:c>
      <x:c r="S24" s="23" t="n">
        <x:v>257.6059154841043</x:v>
      </x:c>
      <x:c r="T24" s="23" t="n">
        <x:v>258.12112731507256</x:v>
      </x:c>
      <x:c r="U24" s="23" t="n">
        <x:v>258.6373695697026</x:v>
      </x:c>
      <x:c r="V24" s="23" t="n">
        <x:v>259.1546443088421</x:v>
      </x:c>
      <x:c r="W24" s="23" t="n">
        <x:v>259.67295359745975</x:v>
      </x:c>
      <x:c r="X24" s="23" t="n">
        <x:v>260.19229950465467</x:v>
      </x:c>
      <x:c r="Y24" s="23" t="n">
        <x:v>260.712684103664</x:v>
      </x:c>
      <x:c r="Z24" s="23" t="n">
        <x:v>261.2341094718713</x:v>
      </x:c>
      <x:c r="AA24" s="23" t="n">
        <x:v>261.75657769081505</x:v>
      </x:c>
    </x:row>
    <x:row r="25" ht="21" customHeight="1">
      <x:c r="A25" s="1"/>
      <x:c r="B25" s="1"/>
      <x:c r="C25" s="1" t="str">
        <x:v>Downside</x:v>
      </x:c>
      <x:c r="D25" s="23" t="n">
        <x:v>240</x:v>
      </x:c>
      <x:c r="E25" s="23" t="n">
        <x:v>240</x:v>
      </x:c>
      <x:c r="F25" s="23" t="n">
        <x:v>240</x:v>
      </x:c>
      <x:c r="G25" s="23" t="n">
        <x:v>240</x:v>
      </x:c>
      <x:c r="H25" s="23" t="n">
        <x:v>240</x:v>
      </x:c>
      <x:c r="I25" s="23" t="n">
        <x:v>240</x:v>
      </x:c>
      <x:c r="J25" s="23" t="n">
        <x:v>240</x:v>
      </x:c>
      <x:c r="K25" s="23" t="n">
        <x:v>240</x:v>
      </x:c>
      <x:c r="L25" s="23" t="n">
        <x:v>240</x:v>
      </x:c>
      <x:c r="M25" s="23" t="n">
        <x:v>240</x:v>
      </x:c>
      <x:c r="N25" s="23" t="n">
        <x:v>240</x:v>
      </x:c>
      <x:c r="O25" s="23" t="n">
        <x:v>240</x:v>
      </x:c>
      <x:c r="P25" s="23" t="n">
        <x:v>240</x:v>
      </x:c>
      <x:c r="Q25" s="23" t="n">
        <x:v>240</x:v>
      </x:c>
      <x:c r="R25" s="23" t="n">
        <x:v>240</x:v>
      </x:c>
      <x:c r="S25" s="23" t="n">
        <x:v>240</x:v>
      </x:c>
      <x:c r="T25" s="23" t="n">
        <x:v>240</x:v>
      </x:c>
      <x:c r="U25" s="23" t="n">
        <x:v>240</x:v>
      </x:c>
      <x:c r="V25" s="23" t="n">
        <x:v>240</x:v>
      </x:c>
      <x:c r="W25" s="23" t="n">
        <x:v>240</x:v>
      </x:c>
      <x:c r="X25" s="23" t="n">
        <x:v>240</x:v>
      </x:c>
      <x:c r="Y25" s="23" t="n">
        <x:v>240</x:v>
      </x:c>
      <x:c r="Z25" s="23" t="n">
        <x:v>240</x:v>
      </x:c>
      <x:c r="AA25" s="23" t="n">
        <x:v>240</x:v>
      </x:c>
    </x:row>
    <x:row r="26" ht="21" customHeight="1">
      <x:c r="A26" s="1"/>
      <x:c r="B26" s="1"/>
      <x:c r="C26" s="1" t="str">
        <x:v>Upside</x:v>
      </x:c>
      <x:c r="D26" s="23" t="n">
        <x:v>270</x:v>
      </x:c>
      <x:c r="E26" s="23" t="n">
        <x:v>270.80999999999995</x:v>
      </x:c>
      <x:c r="F26" s="23" t="n">
        <x:v>271.6224299999999</x:v>
      </x:c>
      <x:c r="G26" s="23" t="n">
        <x:v>272.4372972899999</x:v>
      </x:c>
      <x:c r="H26" s="23" t="n">
        <x:v>273.25460918186985</x:v>
      </x:c>
      <x:c r="I26" s="23" t="n">
        <x:v>274.07437300941547</x:v>
      </x:c>
      <x:c r="J26" s="23" t="n">
        <x:v>274.89659612844366</x:v>
      </x:c>
      <x:c r="K26" s="23" t="n">
        <x:v>275.721285916829</x:v>
      </x:c>
      <x:c r="L26" s="23" t="n">
        <x:v>276.54844977457947</x:v>
      </x:c>
      <x:c r="M26" s="23" t="n">
        <x:v>277.37809512390317</x:v>
      </x:c>
      <x:c r="N26" s="23" t="n">
        <x:v>278.2102294092748</x:v>
      </x:c>
      <x:c r="O26" s="23" t="n">
        <x:v>279.0448600975026</x:v>
      </x:c>
      <x:c r="P26" s="23" t="n">
        <x:v>279.8819946777951</x:v>
      </x:c>
      <x:c r="Q26" s="23" t="n">
        <x:v>280.7216406618285</x:v>
      </x:c>
      <x:c r="R26" s="23" t="n">
        <x:v>281.5638055838139</x:v>
      </x:c>
      <x:c r="S26" s="23" t="n">
        <x:v>282.4084970005653</x:v>
      </x:c>
      <x:c r="T26" s="23" t="n">
        <x:v>283.255722491567</x:v>
      </x:c>
      <x:c r="U26" s="23" t="n">
        <x:v>284.10548965904167</x:v>
      </x:c>
      <x:c r="V26" s="23" t="n">
        <x:v>284.9578061280188</x:v>
      </x:c>
      <x:c r="W26" s="23" t="n">
        <x:v>285.8126795464028</x:v>
      </x:c>
      <x:c r="X26" s="23" t="n">
        <x:v>286.67011758504196</x:v>
      </x:c>
      <x:c r="Y26" s="23" t="n">
        <x:v>287.5301279377971</x:v>
      </x:c>
      <x:c r="Z26" s="23" t="n">
        <x:v>288.3927183216104</x:v>
      </x:c>
      <x:c r="AA26" s="23" t="n">
        <x:v>289.2578964765752</x:v>
      </x:c>
    </x:row>
    <x:row r="27" ht="21" customHeight="1">
      <x:c r="A27" s="1"/>
      <x:c r="B27" s="1"/>
      <x:c r="C27" s="19" t="str">
        <x:v>Monthly logo churn · Active</x:v>
      </x:c>
      <x:c r="D27" s="28" t="n">
        <x:f>IF(CHOOSE($D$5,ISBLANK(D28),ISBLANK(D29),ISBLANK(D30)),NA(),CHOOSE($D$5,D28,D29,D30))</x:f>
        <x:v>0.015</x:v>
      </x:c>
      <x:c r="E27" s="28" t="n">
        <x:f>IF(CHOOSE($D$5,ISBLANK(E28),ISBLANK(E29),ISBLANK(E30)),NA(),CHOOSE($D$5,E28,E29,E30))</x:f>
        <x:v>0.015</x:v>
      </x:c>
      <x:c r="F27" s="28" t="n">
        <x:f>IF(CHOOSE($D$5,ISBLANK(F28),ISBLANK(F29),ISBLANK(F30)),NA(),CHOOSE($D$5,F28,F29,F30))</x:f>
        <x:v>0.015</x:v>
      </x:c>
      <x:c r="G27" s="28" t="n">
        <x:f>IF(CHOOSE($D$5,ISBLANK(G28),ISBLANK(G29),ISBLANK(G30)),NA(),CHOOSE($D$5,G28,G29,G30))</x:f>
        <x:v>0.015</x:v>
      </x:c>
      <x:c r="H27" s="28" t="n">
        <x:f>IF(CHOOSE($D$5,ISBLANK(H28),ISBLANK(H29),ISBLANK(H30)),NA(),CHOOSE($D$5,H28,H29,H30))</x:f>
        <x:v>0.015</x:v>
      </x:c>
      <x:c r="I27" s="28" t="n">
        <x:f>IF(CHOOSE($D$5,ISBLANK(I28),ISBLANK(I29),ISBLANK(I30)),NA(),CHOOSE($D$5,I28,I29,I30))</x:f>
        <x:v>0.015</x:v>
      </x:c>
      <x:c r="J27" s="28" t="n">
        <x:f>IF(CHOOSE($D$5,ISBLANK(J28),ISBLANK(J29),ISBLANK(J30)),NA(),CHOOSE($D$5,J28,J29,J30))</x:f>
        <x:v>0.015</x:v>
      </x:c>
      <x:c r="K27" s="28" t="n">
        <x:f>IF(CHOOSE($D$5,ISBLANK(K28),ISBLANK(K29),ISBLANK(K30)),NA(),CHOOSE($D$5,K28,K29,K30))</x:f>
        <x:v>0.015</x:v>
      </x:c>
      <x:c r="L27" s="28" t="n">
        <x:f>IF(CHOOSE($D$5,ISBLANK(L28),ISBLANK(L29),ISBLANK(L30)),NA(),CHOOSE($D$5,L28,L29,L30))</x:f>
        <x:v>0.015</x:v>
      </x:c>
      <x:c r="M27" s="28" t="n">
        <x:f>IF(CHOOSE($D$5,ISBLANK(M28),ISBLANK(M29),ISBLANK(M30)),NA(),CHOOSE($D$5,M28,M29,M30))</x:f>
        <x:v>0.015</x:v>
      </x:c>
      <x:c r="N27" s="28" t="n">
        <x:f>IF(CHOOSE($D$5,ISBLANK(N28),ISBLANK(N29),ISBLANK(N30)),NA(),CHOOSE($D$5,N28,N29,N30))</x:f>
        <x:v>0.015</x:v>
      </x:c>
      <x:c r="O27" s="28" t="n">
        <x:f>IF(CHOOSE($D$5,ISBLANK(O28),ISBLANK(O29),ISBLANK(O30)),NA(),CHOOSE($D$5,O28,O29,O30))</x:f>
        <x:v>0.015</x:v>
      </x:c>
      <x:c r="P27" s="28" t="n">
        <x:f>IF(CHOOSE($D$5,ISBLANK(P28),ISBLANK(P29),ISBLANK(P30)),NA(),CHOOSE($D$5,P28,P29,P30))</x:f>
        <x:v>0.015</x:v>
      </x:c>
      <x:c r="Q27" s="28" t="n">
        <x:f>IF(CHOOSE($D$5,ISBLANK(Q28),ISBLANK(Q29),ISBLANK(Q30)),NA(),CHOOSE($D$5,Q28,Q29,Q30))</x:f>
        <x:v>0.015</x:v>
      </x:c>
      <x:c r="R27" s="28" t="n">
        <x:f>IF(CHOOSE($D$5,ISBLANK(R28),ISBLANK(R29),ISBLANK(R30)),NA(),CHOOSE($D$5,R28,R29,R30))</x:f>
        <x:v>0.015</x:v>
      </x:c>
      <x:c r="S27" s="28" t="n">
        <x:f>IF(CHOOSE($D$5,ISBLANK(S28),ISBLANK(S29),ISBLANK(S30)),NA(),CHOOSE($D$5,S28,S29,S30))</x:f>
        <x:v>0.015</x:v>
      </x:c>
      <x:c r="T27" s="28" t="n">
        <x:f>IF(CHOOSE($D$5,ISBLANK(T28),ISBLANK(T29),ISBLANK(T30)),NA(),CHOOSE($D$5,T28,T29,T30))</x:f>
        <x:v>0.015</x:v>
      </x:c>
      <x:c r="U27" s="28" t="n">
        <x:f>IF(CHOOSE($D$5,ISBLANK(U28),ISBLANK(U29),ISBLANK(U30)),NA(),CHOOSE($D$5,U28,U29,U30))</x:f>
        <x:v>0.015</x:v>
      </x:c>
      <x:c r="V27" s="28" t="n">
        <x:f>IF(CHOOSE($D$5,ISBLANK(V28),ISBLANK(V29),ISBLANK(V30)),NA(),CHOOSE($D$5,V28,V29,V30))</x:f>
        <x:v>0.015</x:v>
      </x:c>
      <x:c r="W27" s="28" t="n">
        <x:f>IF(CHOOSE($D$5,ISBLANK(W28),ISBLANK(W29),ISBLANK(W30)),NA(),CHOOSE($D$5,W28,W29,W30))</x:f>
        <x:v>0.015</x:v>
      </x:c>
      <x:c r="X27" s="28" t="n">
        <x:f>IF(CHOOSE($D$5,ISBLANK(X28),ISBLANK(X29),ISBLANK(X30)),NA(),CHOOSE($D$5,X28,X29,X30))</x:f>
        <x:v>0.015</x:v>
      </x:c>
      <x:c r="Y27" s="28" t="n">
        <x:f>IF(CHOOSE($D$5,ISBLANK(Y28),ISBLANK(Y29),ISBLANK(Y30)),NA(),CHOOSE($D$5,Y28,Y29,Y30))</x:f>
        <x:v>0.015</x:v>
      </x:c>
      <x:c r="Z27" s="28" t="n">
        <x:f>IF(CHOOSE($D$5,ISBLANK(Z28),ISBLANK(Z29),ISBLANK(Z30)),NA(),CHOOSE($D$5,Z28,Z29,Z30))</x:f>
        <x:v>0.015</x:v>
      </x:c>
      <x:c r="AA27" s="28" t="n">
        <x:f>IF(CHOOSE($D$5,ISBLANK(AA28),ISBLANK(AA29),ISBLANK(AA30)),NA(),CHOOSE($D$5,AA28,AA29,AA30))</x:f>
        <x:v>0.015</x:v>
      </x:c>
    </x:row>
    <x:row r="28" ht="21" customHeight="1">
      <x:c r="A28" s="1"/>
      <x:c r="B28" s="1"/>
      <x:c r="C28" s="1" t="str">
        <x:v>Base</x:v>
      </x:c>
      <x:c r="D28" s="30" t="n">
        <x:v>0.015</x:v>
      </x:c>
      <x:c r="E28" s="30" t="n">
        <x:v>0.015</x:v>
      </x:c>
      <x:c r="F28" s="30" t="n">
        <x:v>0.015</x:v>
      </x:c>
      <x:c r="G28" s="30" t="n">
        <x:v>0.015</x:v>
      </x:c>
      <x:c r="H28" s="30" t="n">
        <x:v>0.015</x:v>
      </x:c>
      <x:c r="I28" s="30" t="n">
        <x:v>0.015</x:v>
      </x:c>
      <x:c r="J28" s="30" t="n">
        <x:v>0.015</x:v>
      </x:c>
      <x:c r="K28" s="30" t="n">
        <x:v>0.015</x:v>
      </x:c>
      <x:c r="L28" s="30" t="n">
        <x:v>0.015</x:v>
      </x:c>
      <x:c r="M28" s="30" t="n">
        <x:v>0.015</x:v>
      </x:c>
      <x:c r="N28" s="30" t="n">
        <x:v>0.015</x:v>
      </x:c>
      <x:c r="O28" s="30" t="n">
        <x:v>0.015</x:v>
      </x:c>
      <x:c r="P28" s="30" t="n">
        <x:v>0.015</x:v>
      </x:c>
      <x:c r="Q28" s="30" t="n">
        <x:v>0.015</x:v>
      </x:c>
      <x:c r="R28" s="30" t="n">
        <x:v>0.015</x:v>
      </x:c>
      <x:c r="S28" s="30" t="n">
        <x:v>0.015</x:v>
      </x:c>
      <x:c r="T28" s="30" t="n">
        <x:v>0.015</x:v>
      </x:c>
      <x:c r="U28" s="30" t="n">
        <x:v>0.015</x:v>
      </x:c>
      <x:c r="V28" s="30" t="n">
        <x:v>0.015</x:v>
      </x:c>
      <x:c r="W28" s="30" t="n">
        <x:v>0.015</x:v>
      </x:c>
      <x:c r="X28" s="30" t="n">
        <x:v>0.015</x:v>
      </x:c>
      <x:c r="Y28" s="30" t="n">
        <x:v>0.015</x:v>
      </x:c>
      <x:c r="Z28" s="30" t="n">
        <x:v>0.015</x:v>
      </x:c>
      <x:c r="AA28" s="30" t="n">
        <x:v>0.015</x:v>
      </x:c>
    </x:row>
    <x:row r="29" ht="21" customHeight="1">
      <x:c r="A29" s="1"/>
      <x:c r="B29" s="1"/>
      <x:c r="C29" s="1" t="str">
        <x:v>Downside</x:v>
      </x:c>
      <x:c r="D29" s="30" t="n">
        <x:v>0.025</x:v>
      </x:c>
      <x:c r="E29" s="30" t="n">
        <x:v>0.025</x:v>
      </x:c>
      <x:c r="F29" s="30" t="n">
        <x:v>0.025</x:v>
      </x:c>
      <x:c r="G29" s="30" t="n">
        <x:v>0.025</x:v>
      </x:c>
      <x:c r="H29" s="30" t="n">
        <x:v>0.025</x:v>
      </x:c>
      <x:c r="I29" s="30" t="n">
        <x:v>0.025</x:v>
      </x:c>
      <x:c r="J29" s="30" t="n">
        <x:v>0.025</x:v>
      </x:c>
      <x:c r="K29" s="30" t="n">
        <x:v>0.025</x:v>
      </x:c>
      <x:c r="L29" s="30" t="n">
        <x:v>0.025</x:v>
      </x:c>
      <x:c r="M29" s="30" t="n">
        <x:v>0.025</x:v>
      </x:c>
      <x:c r="N29" s="30" t="n">
        <x:v>0.025</x:v>
      </x:c>
      <x:c r="O29" s="30" t="n">
        <x:v>0.025</x:v>
      </x:c>
      <x:c r="P29" s="30" t="n">
        <x:v>0.025</x:v>
      </x:c>
      <x:c r="Q29" s="30" t="n">
        <x:v>0.025</x:v>
      </x:c>
      <x:c r="R29" s="30" t="n">
        <x:v>0.025</x:v>
      </x:c>
      <x:c r="S29" s="30" t="n">
        <x:v>0.025</x:v>
      </x:c>
      <x:c r="T29" s="30" t="n">
        <x:v>0.025</x:v>
      </x:c>
      <x:c r="U29" s="30" t="n">
        <x:v>0.025</x:v>
      </x:c>
      <x:c r="V29" s="30" t="n">
        <x:v>0.025</x:v>
      </x:c>
      <x:c r="W29" s="30" t="n">
        <x:v>0.025</x:v>
      </x:c>
      <x:c r="X29" s="30" t="n">
        <x:v>0.025</x:v>
      </x:c>
      <x:c r="Y29" s="30" t="n">
        <x:v>0.025</x:v>
      </x:c>
      <x:c r="Z29" s="30" t="n">
        <x:v>0.025</x:v>
      </x:c>
      <x:c r="AA29" s="30" t="n">
        <x:v>0.025</x:v>
      </x:c>
    </x:row>
    <x:row r="30" ht="21" customHeight="1">
      <x:c r="A30" s="1"/>
      <x:c r="B30" s="1"/>
      <x:c r="C30" s="1" t="str">
        <x:v>Upside</x:v>
      </x:c>
      <x:c r="D30" s="30" t="n">
        <x:v>0.01</x:v>
      </x:c>
      <x:c r="E30" s="30" t="n">
        <x:v>0.01</x:v>
      </x:c>
      <x:c r="F30" s="30" t="n">
        <x:v>0.01</x:v>
      </x:c>
      <x:c r="G30" s="30" t="n">
        <x:v>0.01</x:v>
      </x:c>
      <x:c r="H30" s="30" t="n">
        <x:v>0.01</x:v>
      </x:c>
      <x:c r="I30" s="30" t="n">
        <x:v>0.01</x:v>
      </x:c>
      <x:c r="J30" s="30" t="n">
        <x:v>0.01</x:v>
      </x:c>
      <x:c r="K30" s="30" t="n">
        <x:v>0.01</x:v>
      </x:c>
      <x:c r="L30" s="30" t="n">
        <x:v>0.01</x:v>
      </x:c>
      <x:c r="M30" s="30" t="n">
        <x:v>0.01</x:v>
      </x:c>
      <x:c r="N30" s="30" t="n">
        <x:v>0.01</x:v>
      </x:c>
      <x:c r="O30" s="30" t="n">
        <x:v>0.01</x:v>
      </x:c>
      <x:c r="P30" s="30" t="n">
        <x:v>0.01</x:v>
      </x:c>
      <x:c r="Q30" s="30" t="n">
        <x:v>0.01</x:v>
      </x:c>
      <x:c r="R30" s="30" t="n">
        <x:v>0.01</x:v>
      </x:c>
      <x:c r="S30" s="30" t="n">
        <x:v>0.01</x:v>
      </x:c>
      <x:c r="T30" s="30" t="n">
        <x:v>0.01</x:v>
      </x:c>
      <x:c r="U30" s="30" t="n">
        <x:v>0.01</x:v>
      </x:c>
      <x:c r="V30" s="30" t="n">
        <x:v>0.01</x:v>
      </x:c>
      <x:c r="W30" s="30" t="n">
        <x:v>0.01</x:v>
      </x:c>
      <x:c r="X30" s="30" t="n">
        <x:v>0.01</x:v>
      </x:c>
      <x:c r="Y30" s="30" t="n">
        <x:v>0.01</x:v>
      </x:c>
      <x:c r="Z30" s="30" t="n">
        <x:v>0.01</x:v>
      </x:c>
      <x:c r="AA30" s="30" t="n">
        <x:v>0.01</x:v>
      </x:c>
    </x:row>
    <x:row r="31" ht="21" customHeight="1">
      <x:c r="A31" s="1"/>
      <x:c r="B31" s="1"/>
      <x:c r="C31" s="19" t="str">
        <x:v>Monthly expansion / retained MRR · Active</x:v>
      </x:c>
      <x:c r="D31" s="28" t="n">
        <x:f>IF(CHOOSE($D$5,ISBLANK(D32),ISBLANK(D33),ISBLANK(D34)),NA(),CHOOSE($D$5,D32,D33,D34))</x:f>
        <x:v>0.018</x:v>
      </x:c>
      <x:c r="E31" s="28" t="n">
        <x:f>IF(CHOOSE($D$5,ISBLANK(E32),ISBLANK(E33),ISBLANK(E34)),NA(),CHOOSE($D$5,E32,E33,E34))</x:f>
        <x:v>0.018</x:v>
      </x:c>
      <x:c r="F31" s="28" t="n">
        <x:f>IF(CHOOSE($D$5,ISBLANK(F32),ISBLANK(F33),ISBLANK(F34)),NA(),CHOOSE($D$5,F32,F33,F34))</x:f>
        <x:v>0.018</x:v>
      </x:c>
      <x:c r="G31" s="28" t="n">
        <x:f>IF(CHOOSE($D$5,ISBLANK(G32),ISBLANK(G33),ISBLANK(G34)),NA(),CHOOSE($D$5,G32,G33,G34))</x:f>
        <x:v>0.018</x:v>
      </x:c>
      <x:c r="H31" s="28" t="n">
        <x:f>IF(CHOOSE($D$5,ISBLANK(H32),ISBLANK(H33),ISBLANK(H34)),NA(),CHOOSE($D$5,H32,H33,H34))</x:f>
        <x:v>0.018</x:v>
      </x:c>
      <x:c r="I31" s="28" t="n">
        <x:f>IF(CHOOSE($D$5,ISBLANK(I32),ISBLANK(I33),ISBLANK(I34)),NA(),CHOOSE($D$5,I32,I33,I34))</x:f>
        <x:v>0.018</x:v>
      </x:c>
      <x:c r="J31" s="28" t="n">
        <x:f>IF(CHOOSE($D$5,ISBLANK(J32),ISBLANK(J33),ISBLANK(J34)),NA(),CHOOSE($D$5,J32,J33,J34))</x:f>
        <x:v>0.018</x:v>
      </x:c>
      <x:c r="K31" s="28" t="n">
        <x:f>IF(CHOOSE($D$5,ISBLANK(K32),ISBLANK(K33),ISBLANK(K34)),NA(),CHOOSE($D$5,K32,K33,K34))</x:f>
        <x:v>0.018</x:v>
      </x:c>
      <x:c r="L31" s="28" t="n">
        <x:f>IF(CHOOSE($D$5,ISBLANK(L32),ISBLANK(L33),ISBLANK(L34)),NA(),CHOOSE($D$5,L32,L33,L34))</x:f>
        <x:v>0.018</x:v>
      </x:c>
      <x:c r="M31" s="28" t="n">
        <x:f>IF(CHOOSE($D$5,ISBLANK(M32),ISBLANK(M33),ISBLANK(M34)),NA(),CHOOSE($D$5,M32,M33,M34))</x:f>
        <x:v>0.018</x:v>
      </x:c>
      <x:c r="N31" s="28" t="n">
        <x:f>IF(CHOOSE($D$5,ISBLANK(N32),ISBLANK(N33),ISBLANK(N34)),NA(),CHOOSE($D$5,N32,N33,N34))</x:f>
        <x:v>0.018</x:v>
      </x:c>
      <x:c r="O31" s="28" t="n">
        <x:f>IF(CHOOSE($D$5,ISBLANK(O32),ISBLANK(O33),ISBLANK(O34)),NA(),CHOOSE($D$5,O32,O33,O34))</x:f>
        <x:v>0.018</x:v>
      </x:c>
      <x:c r="P31" s="28" t="n">
        <x:f>IF(CHOOSE($D$5,ISBLANK(P32),ISBLANK(P33),ISBLANK(P34)),NA(),CHOOSE($D$5,P32,P33,P34))</x:f>
        <x:v>0.018</x:v>
      </x:c>
      <x:c r="Q31" s="28" t="n">
        <x:f>IF(CHOOSE($D$5,ISBLANK(Q32),ISBLANK(Q33),ISBLANK(Q34)),NA(),CHOOSE($D$5,Q32,Q33,Q34))</x:f>
        <x:v>0.018</x:v>
      </x:c>
      <x:c r="R31" s="28" t="n">
        <x:f>IF(CHOOSE($D$5,ISBLANK(R32),ISBLANK(R33),ISBLANK(R34)),NA(),CHOOSE($D$5,R32,R33,R34))</x:f>
        <x:v>0.018</x:v>
      </x:c>
      <x:c r="S31" s="28" t="n">
        <x:f>IF(CHOOSE($D$5,ISBLANK(S32),ISBLANK(S33),ISBLANK(S34)),NA(),CHOOSE($D$5,S32,S33,S34))</x:f>
        <x:v>0.018</x:v>
      </x:c>
      <x:c r="T31" s="28" t="n">
        <x:f>IF(CHOOSE($D$5,ISBLANK(T32),ISBLANK(T33),ISBLANK(T34)),NA(),CHOOSE($D$5,T32,T33,T34))</x:f>
        <x:v>0.018</x:v>
      </x:c>
      <x:c r="U31" s="28" t="n">
        <x:f>IF(CHOOSE($D$5,ISBLANK(U32),ISBLANK(U33),ISBLANK(U34)),NA(),CHOOSE($D$5,U32,U33,U34))</x:f>
        <x:v>0.018</x:v>
      </x:c>
      <x:c r="V31" s="28" t="n">
        <x:f>IF(CHOOSE($D$5,ISBLANK(V32),ISBLANK(V33),ISBLANK(V34)),NA(),CHOOSE($D$5,V32,V33,V34))</x:f>
        <x:v>0.018</x:v>
      </x:c>
      <x:c r="W31" s="28" t="n">
        <x:f>IF(CHOOSE($D$5,ISBLANK(W32),ISBLANK(W33),ISBLANK(W34)),NA(),CHOOSE($D$5,W32,W33,W34))</x:f>
        <x:v>0.018</x:v>
      </x:c>
      <x:c r="X31" s="28" t="n">
        <x:f>IF(CHOOSE($D$5,ISBLANK(X32),ISBLANK(X33),ISBLANK(X34)),NA(),CHOOSE($D$5,X32,X33,X34))</x:f>
        <x:v>0.018</x:v>
      </x:c>
      <x:c r="Y31" s="28" t="n">
        <x:f>IF(CHOOSE($D$5,ISBLANK(Y32),ISBLANK(Y33),ISBLANK(Y34)),NA(),CHOOSE($D$5,Y32,Y33,Y34))</x:f>
        <x:v>0.018</x:v>
      </x:c>
      <x:c r="Z31" s="28" t="n">
        <x:f>IF(CHOOSE($D$5,ISBLANK(Z32),ISBLANK(Z33),ISBLANK(Z34)),NA(),CHOOSE($D$5,Z32,Z33,Z34))</x:f>
        <x:v>0.018</x:v>
      </x:c>
      <x:c r="AA31" s="28" t="n">
        <x:f>IF(CHOOSE($D$5,ISBLANK(AA32),ISBLANK(AA33),ISBLANK(AA34)),NA(),CHOOSE($D$5,AA32,AA33,AA34))</x:f>
        <x:v>0.018</x:v>
      </x:c>
    </x:row>
    <x:row r="32" ht="21" customHeight="1">
      <x:c r="A32" s="1"/>
      <x:c r="B32" s="1"/>
      <x:c r="C32" s="1" t="str">
        <x:v>Base</x:v>
      </x:c>
      <x:c r="D32" s="30" t="n">
        <x:v>0.018</x:v>
      </x:c>
      <x:c r="E32" s="30" t="n">
        <x:v>0.018</x:v>
      </x:c>
      <x:c r="F32" s="30" t="n">
        <x:v>0.018</x:v>
      </x:c>
      <x:c r="G32" s="30" t="n">
        <x:v>0.018</x:v>
      </x:c>
      <x:c r="H32" s="30" t="n">
        <x:v>0.018</x:v>
      </x:c>
      <x:c r="I32" s="30" t="n">
        <x:v>0.018</x:v>
      </x:c>
      <x:c r="J32" s="30" t="n">
        <x:v>0.018</x:v>
      </x:c>
      <x:c r="K32" s="30" t="n">
        <x:v>0.018</x:v>
      </x:c>
      <x:c r="L32" s="30" t="n">
        <x:v>0.018</x:v>
      </x:c>
      <x:c r="M32" s="30" t="n">
        <x:v>0.018</x:v>
      </x:c>
      <x:c r="N32" s="30" t="n">
        <x:v>0.018</x:v>
      </x:c>
      <x:c r="O32" s="30" t="n">
        <x:v>0.018</x:v>
      </x:c>
      <x:c r="P32" s="30" t="n">
        <x:v>0.018</x:v>
      </x:c>
      <x:c r="Q32" s="30" t="n">
        <x:v>0.018</x:v>
      </x:c>
      <x:c r="R32" s="30" t="n">
        <x:v>0.018</x:v>
      </x:c>
      <x:c r="S32" s="30" t="n">
        <x:v>0.018</x:v>
      </x:c>
      <x:c r="T32" s="30" t="n">
        <x:v>0.018</x:v>
      </x:c>
      <x:c r="U32" s="30" t="n">
        <x:v>0.018</x:v>
      </x:c>
      <x:c r="V32" s="30" t="n">
        <x:v>0.018</x:v>
      </x:c>
      <x:c r="W32" s="30" t="n">
        <x:v>0.018</x:v>
      </x:c>
      <x:c r="X32" s="30" t="n">
        <x:v>0.018</x:v>
      </x:c>
      <x:c r="Y32" s="30" t="n">
        <x:v>0.018</x:v>
      </x:c>
      <x:c r="Z32" s="30" t="n">
        <x:v>0.018</x:v>
      </x:c>
      <x:c r="AA32" s="30" t="n">
        <x:v>0.018</x:v>
      </x:c>
    </x:row>
    <x:row r="33" ht="21" customHeight="1">
      <x:c r="A33" s="1"/>
      <x:c r="B33" s="1"/>
      <x:c r="C33" s="1" t="str">
        <x:v>Downside</x:v>
      </x:c>
      <x:c r="D33" s="30" t="n">
        <x:v>0.01</x:v>
      </x:c>
      <x:c r="E33" s="30" t="n">
        <x:v>0.01</x:v>
      </x:c>
      <x:c r="F33" s="30" t="n">
        <x:v>0.01</x:v>
      </x:c>
      <x:c r="G33" s="30" t="n">
        <x:v>0.01</x:v>
      </x:c>
      <x:c r="H33" s="30" t="n">
        <x:v>0.01</x:v>
      </x:c>
      <x:c r="I33" s="30" t="n">
        <x:v>0.01</x:v>
      </x:c>
      <x:c r="J33" s="30" t="n">
        <x:v>0.01</x:v>
      </x:c>
      <x:c r="K33" s="30" t="n">
        <x:v>0.01</x:v>
      </x:c>
      <x:c r="L33" s="30" t="n">
        <x:v>0.01</x:v>
      </x:c>
      <x:c r="M33" s="30" t="n">
        <x:v>0.01</x:v>
      </x:c>
      <x:c r="N33" s="30" t="n">
        <x:v>0.01</x:v>
      </x:c>
      <x:c r="O33" s="30" t="n">
        <x:v>0.01</x:v>
      </x:c>
      <x:c r="P33" s="30" t="n">
        <x:v>0.01</x:v>
      </x:c>
      <x:c r="Q33" s="30" t="n">
        <x:v>0.01</x:v>
      </x:c>
      <x:c r="R33" s="30" t="n">
        <x:v>0.01</x:v>
      </x:c>
      <x:c r="S33" s="30" t="n">
        <x:v>0.01</x:v>
      </x:c>
      <x:c r="T33" s="30" t="n">
        <x:v>0.01</x:v>
      </x:c>
      <x:c r="U33" s="30" t="n">
        <x:v>0.01</x:v>
      </x:c>
      <x:c r="V33" s="30" t="n">
        <x:v>0.01</x:v>
      </x:c>
      <x:c r="W33" s="30" t="n">
        <x:v>0.01</x:v>
      </x:c>
      <x:c r="X33" s="30" t="n">
        <x:v>0.01</x:v>
      </x:c>
      <x:c r="Y33" s="30" t="n">
        <x:v>0.01</x:v>
      </x:c>
      <x:c r="Z33" s="30" t="n">
        <x:v>0.01</x:v>
      </x:c>
      <x:c r="AA33" s="30" t="n">
        <x:v>0.01</x:v>
      </x:c>
    </x:row>
    <x:row r="34" ht="21" customHeight="1">
      <x:c r="A34" s="1"/>
      <x:c r="B34" s="1"/>
      <x:c r="C34" s="1" t="str">
        <x:v>Upside</x:v>
      </x:c>
      <x:c r="D34" s="30" t="n">
        <x:v>0.025</x:v>
      </x:c>
      <x:c r="E34" s="30" t="n">
        <x:v>0.025</x:v>
      </x:c>
      <x:c r="F34" s="30" t="n">
        <x:v>0.025</x:v>
      </x:c>
      <x:c r="G34" s="30" t="n">
        <x:v>0.025</x:v>
      </x:c>
      <x:c r="H34" s="30" t="n">
        <x:v>0.025</x:v>
      </x:c>
      <x:c r="I34" s="30" t="n">
        <x:v>0.025</x:v>
      </x:c>
      <x:c r="J34" s="30" t="n">
        <x:v>0.025</x:v>
      </x:c>
      <x:c r="K34" s="30" t="n">
        <x:v>0.025</x:v>
      </x:c>
      <x:c r="L34" s="30" t="n">
        <x:v>0.025</x:v>
      </x:c>
      <x:c r="M34" s="30" t="n">
        <x:v>0.025</x:v>
      </x:c>
      <x:c r="N34" s="30" t="n">
        <x:v>0.025</x:v>
      </x:c>
      <x:c r="O34" s="30" t="n">
        <x:v>0.025</x:v>
      </x:c>
      <x:c r="P34" s="30" t="n">
        <x:v>0.025</x:v>
      </x:c>
      <x:c r="Q34" s="30" t="n">
        <x:v>0.025</x:v>
      </x:c>
      <x:c r="R34" s="30" t="n">
        <x:v>0.025</x:v>
      </x:c>
      <x:c r="S34" s="30" t="n">
        <x:v>0.025</x:v>
      </x:c>
      <x:c r="T34" s="30" t="n">
        <x:v>0.025</x:v>
      </x:c>
      <x:c r="U34" s="30" t="n">
        <x:v>0.025</x:v>
      </x:c>
      <x:c r="V34" s="30" t="n">
        <x:v>0.025</x:v>
      </x:c>
      <x:c r="W34" s="30" t="n">
        <x:v>0.025</x:v>
      </x:c>
      <x:c r="X34" s="30" t="n">
        <x:v>0.025</x:v>
      </x:c>
      <x:c r="Y34" s="30" t="n">
        <x:v>0.025</x:v>
      </x:c>
      <x:c r="Z34" s="30" t="n">
        <x:v>0.025</x:v>
      </x:c>
      <x:c r="AA34" s="30" t="n">
        <x:v>0.025</x:v>
      </x:c>
    </x:row>
    <x:row r="35" ht="21" customHeight="1">
      <x:c r="A35" s="1"/>
      <x:c r="B35" s="1"/>
      <x:c r="C35" s="19" t="str">
        <x:v>Monthly contraction / retained MRR · Active</x:v>
      </x:c>
      <x:c r="D35" s="28" t="n">
        <x:f>IF(CHOOSE($D$5,ISBLANK(D36),ISBLANK(D37),ISBLANK(D38)),NA(),CHOOSE($D$5,D36,D37,D38))</x:f>
        <x:v>0.003</x:v>
      </x:c>
      <x:c r="E35" s="28" t="n">
        <x:f>IF(CHOOSE($D$5,ISBLANK(E36),ISBLANK(E37),ISBLANK(E38)),NA(),CHOOSE($D$5,E36,E37,E38))</x:f>
        <x:v>0.003</x:v>
      </x:c>
      <x:c r="F35" s="28" t="n">
        <x:f>IF(CHOOSE($D$5,ISBLANK(F36),ISBLANK(F37),ISBLANK(F38)),NA(),CHOOSE($D$5,F36,F37,F38))</x:f>
        <x:v>0.003</x:v>
      </x:c>
      <x:c r="G35" s="28" t="n">
        <x:f>IF(CHOOSE($D$5,ISBLANK(G36),ISBLANK(G37),ISBLANK(G38)),NA(),CHOOSE($D$5,G36,G37,G38))</x:f>
        <x:v>0.003</x:v>
      </x:c>
      <x:c r="H35" s="28" t="n">
        <x:f>IF(CHOOSE($D$5,ISBLANK(H36),ISBLANK(H37),ISBLANK(H38)),NA(),CHOOSE($D$5,H36,H37,H38))</x:f>
        <x:v>0.003</x:v>
      </x:c>
      <x:c r="I35" s="28" t="n">
        <x:f>IF(CHOOSE($D$5,ISBLANK(I36),ISBLANK(I37),ISBLANK(I38)),NA(),CHOOSE($D$5,I36,I37,I38))</x:f>
        <x:v>0.003</x:v>
      </x:c>
      <x:c r="J35" s="28" t="n">
        <x:f>IF(CHOOSE($D$5,ISBLANK(J36),ISBLANK(J37),ISBLANK(J38)),NA(),CHOOSE($D$5,J36,J37,J38))</x:f>
        <x:v>0.003</x:v>
      </x:c>
      <x:c r="K35" s="28" t="n">
        <x:f>IF(CHOOSE($D$5,ISBLANK(K36),ISBLANK(K37),ISBLANK(K38)),NA(),CHOOSE($D$5,K36,K37,K38))</x:f>
        <x:v>0.003</x:v>
      </x:c>
      <x:c r="L35" s="28" t="n">
        <x:f>IF(CHOOSE($D$5,ISBLANK(L36),ISBLANK(L37),ISBLANK(L38)),NA(),CHOOSE($D$5,L36,L37,L38))</x:f>
        <x:v>0.003</x:v>
      </x:c>
      <x:c r="M35" s="28" t="n">
        <x:f>IF(CHOOSE($D$5,ISBLANK(M36),ISBLANK(M37),ISBLANK(M38)),NA(),CHOOSE($D$5,M36,M37,M38))</x:f>
        <x:v>0.003</x:v>
      </x:c>
      <x:c r="N35" s="28" t="n">
        <x:f>IF(CHOOSE($D$5,ISBLANK(N36),ISBLANK(N37),ISBLANK(N38)),NA(),CHOOSE($D$5,N36,N37,N38))</x:f>
        <x:v>0.003</x:v>
      </x:c>
      <x:c r="O35" s="28" t="n">
        <x:f>IF(CHOOSE($D$5,ISBLANK(O36),ISBLANK(O37),ISBLANK(O38)),NA(),CHOOSE($D$5,O36,O37,O38))</x:f>
        <x:v>0.003</x:v>
      </x:c>
      <x:c r="P35" s="28" t="n">
        <x:f>IF(CHOOSE($D$5,ISBLANK(P36),ISBLANK(P37),ISBLANK(P38)),NA(),CHOOSE($D$5,P36,P37,P38))</x:f>
        <x:v>0.003</x:v>
      </x:c>
      <x:c r="Q35" s="28" t="n">
        <x:f>IF(CHOOSE($D$5,ISBLANK(Q36),ISBLANK(Q37),ISBLANK(Q38)),NA(),CHOOSE($D$5,Q36,Q37,Q38))</x:f>
        <x:v>0.003</x:v>
      </x:c>
      <x:c r="R35" s="28" t="n">
        <x:f>IF(CHOOSE($D$5,ISBLANK(R36),ISBLANK(R37),ISBLANK(R38)),NA(),CHOOSE($D$5,R36,R37,R38))</x:f>
        <x:v>0.003</x:v>
      </x:c>
      <x:c r="S35" s="28" t="n">
        <x:f>IF(CHOOSE($D$5,ISBLANK(S36),ISBLANK(S37),ISBLANK(S38)),NA(),CHOOSE($D$5,S36,S37,S38))</x:f>
        <x:v>0.003</x:v>
      </x:c>
      <x:c r="T35" s="28" t="n">
        <x:f>IF(CHOOSE($D$5,ISBLANK(T36),ISBLANK(T37),ISBLANK(T38)),NA(),CHOOSE($D$5,T36,T37,T38))</x:f>
        <x:v>0.003</x:v>
      </x:c>
      <x:c r="U35" s="28" t="n">
        <x:f>IF(CHOOSE($D$5,ISBLANK(U36),ISBLANK(U37),ISBLANK(U38)),NA(),CHOOSE($D$5,U36,U37,U38))</x:f>
        <x:v>0.003</x:v>
      </x:c>
      <x:c r="V35" s="28" t="n">
        <x:f>IF(CHOOSE($D$5,ISBLANK(V36),ISBLANK(V37),ISBLANK(V38)),NA(),CHOOSE($D$5,V36,V37,V38))</x:f>
        <x:v>0.003</x:v>
      </x:c>
      <x:c r="W35" s="28" t="n">
        <x:f>IF(CHOOSE($D$5,ISBLANK(W36),ISBLANK(W37),ISBLANK(W38)),NA(),CHOOSE($D$5,W36,W37,W38))</x:f>
        <x:v>0.003</x:v>
      </x:c>
      <x:c r="X35" s="28" t="n">
        <x:f>IF(CHOOSE($D$5,ISBLANK(X36),ISBLANK(X37),ISBLANK(X38)),NA(),CHOOSE($D$5,X36,X37,X38))</x:f>
        <x:v>0.003</x:v>
      </x:c>
      <x:c r="Y35" s="28" t="n">
        <x:f>IF(CHOOSE($D$5,ISBLANK(Y36),ISBLANK(Y37),ISBLANK(Y38)),NA(),CHOOSE($D$5,Y36,Y37,Y38))</x:f>
        <x:v>0.003</x:v>
      </x:c>
      <x:c r="Z35" s="28" t="n">
        <x:f>IF(CHOOSE($D$5,ISBLANK(Z36),ISBLANK(Z37),ISBLANK(Z38)),NA(),CHOOSE($D$5,Z36,Z37,Z38))</x:f>
        <x:v>0.003</x:v>
      </x:c>
      <x:c r="AA35" s="28" t="n">
        <x:f>IF(CHOOSE($D$5,ISBLANK(AA36),ISBLANK(AA37),ISBLANK(AA38)),NA(),CHOOSE($D$5,AA36,AA37,AA38))</x:f>
        <x:v>0.003</x:v>
      </x:c>
    </x:row>
    <x:row r="36" ht="21" customHeight="1">
      <x:c r="A36" s="1"/>
      <x:c r="B36" s="1"/>
      <x:c r="C36" s="1" t="str">
        <x:v>Base</x:v>
      </x:c>
      <x:c r="D36" s="30" t="n">
        <x:v>0.003</x:v>
      </x:c>
      <x:c r="E36" s="30" t="n">
        <x:v>0.003</x:v>
      </x:c>
      <x:c r="F36" s="30" t="n">
        <x:v>0.003</x:v>
      </x:c>
      <x:c r="G36" s="30" t="n">
        <x:v>0.003</x:v>
      </x:c>
      <x:c r="H36" s="30" t="n">
        <x:v>0.003</x:v>
      </x:c>
      <x:c r="I36" s="30" t="n">
        <x:v>0.003</x:v>
      </x:c>
      <x:c r="J36" s="30" t="n">
        <x:v>0.003</x:v>
      </x:c>
      <x:c r="K36" s="30" t="n">
        <x:v>0.003</x:v>
      </x:c>
      <x:c r="L36" s="30" t="n">
        <x:v>0.003</x:v>
      </x:c>
      <x:c r="M36" s="30" t="n">
        <x:v>0.003</x:v>
      </x:c>
      <x:c r="N36" s="30" t="n">
        <x:v>0.003</x:v>
      </x:c>
      <x:c r="O36" s="30" t="n">
        <x:v>0.003</x:v>
      </x:c>
      <x:c r="P36" s="30" t="n">
        <x:v>0.003</x:v>
      </x:c>
      <x:c r="Q36" s="30" t="n">
        <x:v>0.003</x:v>
      </x:c>
      <x:c r="R36" s="30" t="n">
        <x:v>0.003</x:v>
      </x:c>
      <x:c r="S36" s="30" t="n">
        <x:v>0.003</x:v>
      </x:c>
      <x:c r="T36" s="30" t="n">
        <x:v>0.003</x:v>
      </x:c>
      <x:c r="U36" s="30" t="n">
        <x:v>0.003</x:v>
      </x:c>
      <x:c r="V36" s="30" t="n">
        <x:v>0.003</x:v>
      </x:c>
      <x:c r="W36" s="30" t="n">
        <x:v>0.003</x:v>
      </x:c>
      <x:c r="X36" s="30" t="n">
        <x:v>0.003</x:v>
      </x:c>
      <x:c r="Y36" s="30" t="n">
        <x:v>0.003</x:v>
      </x:c>
      <x:c r="Z36" s="30" t="n">
        <x:v>0.003</x:v>
      </x:c>
      <x:c r="AA36" s="30" t="n">
        <x:v>0.003</x:v>
      </x:c>
    </x:row>
    <x:row r="37" ht="21" customHeight="1">
      <x:c r="A37" s="1"/>
      <x:c r="B37" s="1"/>
      <x:c r="C37" s="1" t="str">
        <x:v>Downside</x:v>
      </x:c>
      <x:c r="D37" s="30" t="n">
        <x:v>0.006</x:v>
      </x:c>
      <x:c r="E37" s="30" t="n">
        <x:v>0.006</x:v>
      </x:c>
      <x:c r="F37" s="30" t="n">
        <x:v>0.006</x:v>
      </x:c>
      <x:c r="G37" s="30" t="n">
        <x:v>0.006</x:v>
      </x:c>
      <x:c r="H37" s="30" t="n">
        <x:v>0.006</x:v>
      </x:c>
      <x:c r="I37" s="30" t="n">
        <x:v>0.006</x:v>
      </x:c>
      <x:c r="J37" s="30" t="n">
        <x:v>0.006</x:v>
      </x:c>
      <x:c r="K37" s="30" t="n">
        <x:v>0.006</x:v>
      </x:c>
      <x:c r="L37" s="30" t="n">
        <x:v>0.006</x:v>
      </x:c>
      <x:c r="M37" s="30" t="n">
        <x:v>0.006</x:v>
      </x:c>
      <x:c r="N37" s="30" t="n">
        <x:v>0.006</x:v>
      </x:c>
      <x:c r="O37" s="30" t="n">
        <x:v>0.006</x:v>
      </x:c>
      <x:c r="P37" s="30" t="n">
        <x:v>0.006</x:v>
      </x:c>
      <x:c r="Q37" s="30" t="n">
        <x:v>0.006</x:v>
      </x:c>
      <x:c r="R37" s="30" t="n">
        <x:v>0.006</x:v>
      </x:c>
      <x:c r="S37" s="30" t="n">
        <x:v>0.006</x:v>
      </x:c>
      <x:c r="T37" s="30" t="n">
        <x:v>0.006</x:v>
      </x:c>
      <x:c r="U37" s="30" t="n">
        <x:v>0.006</x:v>
      </x:c>
      <x:c r="V37" s="30" t="n">
        <x:v>0.006</x:v>
      </x:c>
      <x:c r="W37" s="30" t="n">
        <x:v>0.006</x:v>
      </x:c>
      <x:c r="X37" s="30" t="n">
        <x:v>0.006</x:v>
      </x:c>
      <x:c r="Y37" s="30" t="n">
        <x:v>0.006</x:v>
      </x:c>
      <x:c r="Z37" s="30" t="n">
        <x:v>0.006</x:v>
      </x:c>
      <x:c r="AA37" s="30" t="n">
        <x:v>0.006</x:v>
      </x:c>
    </x:row>
    <x:row r="38" ht="21" customHeight="1">
      <x:c r="A38" s="1"/>
      <x:c r="B38" s="1"/>
      <x:c r="C38" s="1" t="str">
        <x:v>Upside</x:v>
      </x:c>
      <x:c r="D38" s="30" t="n">
        <x:v>0.002</x:v>
      </x:c>
      <x:c r="E38" s="30" t="n">
        <x:v>0.002</x:v>
      </x:c>
      <x:c r="F38" s="30" t="n">
        <x:v>0.002</x:v>
      </x:c>
      <x:c r="G38" s="30" t="n">
        <x:v>0.002</x:v>
      </x:c>
      <x:c r="H38" s="30" t="n">
        <x:v>0.002</x:v>
      </x:c>
      <x:c r="I38" s="30" t="n">
        <x:v>0.002</x:v>
      </x:c>
      <x:c r="J38" s="30" t="n">
        <x:v>0.002</x:v>
      </x:c>
      <x:c r="K38" s="30" t="n">
        <x:v>0.002</x:v>
      </x:c>
      <x:c r="L38" s="30" t="n">
        <x:v>0.002</x:v>
      </x:c>
      <x:c r="M38" s="30" t="n">
        <x:v>0.002</x:v>
      </x:c>
      <x:c r="N38" s="30" t="n">
        <x:v>0.002</x:v>
      </x:c>
      <x:c r="O38" s="30" t="n">
        <x:v>0.002</x:v>
      </x:c>
      <x:c r="P38" s="30" t="n">
        <x:v>0.002</x:v>
      </x:c>
      <x:c r="Q38" s="30" t="n">
        <x:v>0.002</x:v>
      </x:c>
      <x:c r="R38" s="30" t="n">
        <x:v>0.002</x:v>
      </x:c>
      <x:c r="S38" s="30" t="n">
        <x:v>0.002</x:v>
      </x:c>
      <x:c r="T38" s="30" t="n">
        <x:v>0.002</x:v>
      </x:c>
      <x:c r="U38" s="30" t="n">
        <x:v>0.002</x:v>
      </x:c>
      <x:c r="V38" s="30" t="n">
        <x:v>0.002</x:v>
      </x:c>
      <x:c r="W38" s="30" t="n">
        <x:v>0.002</x:v>
      </x:c>
      <x:c r="X38" s="30" t="n">
        <x:v>0.002</x:v>
      </x:c>
      <x:c r="Y38" s="30" t="n">
        <x:v>0.002</x:v>
      </x:c>
      <x:c r="Z38" s="30" t="n">
        <x:v>0.002</x:v>
      </x:c>
      <x:c r="AA38" s="30" t="n">
        <x:v>0.002</x:v>
      </x:c>
    </x:row>
    <x:row r="39" ht="21" customHeight="1">
      <x:c r="A39" s="1"/>
      <x:c r="B39" s="1"/>
      <x:c r="C39" s="19" t="str">
        <x:v>Gross margin · Active</x:v>
      </x:c>
      <x:c r="D39" s="28" t="n">
        <x:f>IF(CHOOSE($D$5,ISBLANK(D40),ISBLANK(D41),ISBLANK(D42)),NA(),CHOOSE($D$5,D40,D41,D42))</x:f>
        <x:v>0.8</x:v>
      </x:c>
      <x:c r="E39" s="28" t="n">
        <x:f>IF(CHOOSE($D$5,ISBLANK(E40),ISBLANK(E41),ISBLANK(E42)),NA(),CHOOSE($D$5,E40,E41,E42))</x:f>
        <x:v>0.8</x:v>
      </x:c>
      <x:c r="F39" s="28" t="n">
        <x:f>IF(CHOOSE($D$5,ISBLANK(F40),ISBLANK(F41),ISBLANK(F42)),NA(),CHOOSE($D$5,F40,F41,F42))</x:f>
        <x:v>0.8</x:v>
      </x:c>
      <x:c r="G39" s="28" t="n">
        <x:f>IF(CHOOSE($D$5,ISBLANK(G40),ISBLANK(G41),ISBLANK(G42)),NA(),CHOOSE($D$5,G40,G41,G42))</x:f>
        <x:v>0.8</x:v>
      </x:c>
      <x:c r="H39" s="28" t="n">
        <x:f>IF(CHOOSE($D$5,ISBLANK(H40),ISBLANK(H41),ISBLANK(H42)),NA(),CHOOSE($D$5,H40,H41,H42))</x:f>
        <x:v>0.8</x:v>
      </x:c>
      <x:c r="I39" s="28" t="n">
        <x:f>IF(CHOOSE($D$5,ISBLANK(I40),ISBLANK(I41),ISBLANK(I42)),NA(),CHOOSE($D$5,I40,I41,I42))</x:f>
        <x:v>0.8</x:v>
      </x:c>
      <x:c r="J39" s="28" t="n">
        <x:f>IF(CHOOSE($D$5,ISBLANK(J40),ISBLANK(J41),ISBLANK(J42)),NA(),CHOOSE($D$5,J40,J41,J42))</x:f>
        <x:v>0.8</x:v>
      </x:c>
      <x:c r="K39" s="28" t="n">
        <x:f>IF(CHOOSE($D$5,ISBLANK(K40),ISBLANK(K41),ISBLANK(K42)),NA(),CHOOSE($D$5,K40,K41,K42))</x:f>
        <x:v>0.8</x:v>
      </x:c>
      <x:c r="L39" s="28" t="n">
        <x:f>IF(CHOOSE($D$5,ISBLANK(L40),ISBLANK(L41),ISBLANK(L42)),NA(),CHOOSE($D$5,L40,L41,L42))</x:f>
        <x:v>0.8</x:v>
      </x:c>
      <x:c r="M39" s="28" t="n">
        <x:f>IF(CHOOSE($D$5,ISBLANK(M40),ISBLANK(M41),ISBLANK(M42)),NA(),CHOOSE($D$5,M40,M41,M42))</x:f>
        <x:v>0.8</x:v>
      </x:c>
      <x:c r="N39" s="28" t="n">
        <x:f>IF(CHOOSE($D$5,ISBLANK(N40),ISBLANK(N41),ISBLANK(N42)),NA(),CHOOSE($D$5,N40,N41,N42))</x:f>
        <x:v>0.8</x:v>
      </x:c>
      <x:c r="O39" s="28" t="n">
        <x:f>IF(CHOOSE($D$5,ISBLANK(O40),ISBLANK(O41),ISBLANK(O42)),NA(),CHOOSE($D$5,O40,O41,O42))</x:f>
        <x:v>0.8</x:v>
      </x:c>
      <x:c r="P39" s="28" t="n">
        <x:f>IF(CHOOSE($D$5,ISBLANK(P40),ISBLANK(P41),ISBLANK(P42)),NA(),CHOOSE($D$5,P40,P41,P42))</x:f>
        <x:v>0.8</x:v>
      </x:c>
      <x:c r="Q39" s="28" t="n">
        <x:f>IF(CHOOSE($D$5,ISBLANK(Q40),ISBLANK(Q41),ISBLANK(Q42)),NA(),CHOOSE($D$5,Q40,Q41,Q42))</x:f>
        <x:v>0.8</x:v>
      </x:c>
      <x:c r="R39" s="28" t="n">
        <x:f>IF(CHOOSE($D$5,ISBLANK(R40),ISBLANK(R41),ISBLANK(R42)),NA(),CHOOSE($D$5,R40,R41,R42))</x:f>
        <x:v>0.8</x:v>
      </x:c>
      <x:c r="S39" s="28" t="n">
        <x:f>IF(CHOOSE($D$5,ISBLANK(S40),ISBLANK(S41),ISBLANK(S42)),NA(),CHOOSE($D$5,S40,S41,S42))</x:f>
        <x:v>0.8</x:v>
      </x:c>
      <x:c r="T39" s="28" t="n">
        <x:f>IF(CHOOSE($D$5,ISBLANK(T40),ISBLANK(T41),ISBLANK(T42)),NA(),CHOOSE($D$5,T40,T41,T42))</x:f>
        <x:v>0.8</x:v>
      </x:c>
      <x:c r="U39" s="28" t="n">
        <x:f>IF(CHOOSE($D$5,ISBLANK(U40),ISBLANK(U41),ISBLANK(U42)),NA(),CHOOSE($D$5,U40,U41,U42))</x:f>
        <x:v>0.8</x:v>
      </x:c>
      <x:c r="V39" s="28" t="n">
        <x:f>IF(CHOOSE($D$5,ISBLANK(V40),ISBLANK(V41),ISBLANK(V42)),NA(),CHOOSE($D$5,V40,V41,V42))</x:f>
        <x:v>0.8</x:v>
      </x:c>
      <x:c r="W39" s="28" t="n">
        <x:f>IF(CHOOSE($D$5,ISBLANK(W40),ISBLANK(W41),ISBLANK(W42)),NA(),CHOOSE($D$5,W40,W41,W42))</x:f>
        <x:v>0.8</x:v>
      </x:c>
      <x:c r="X39" s="28" t="n">
        <x:f>IF(CHOOSE($D$5,ISBLANK(X40),ISBLANK(X41),ISBLANK(X42)),NA(),CHOOSE($D$5,X40,X41,X42))</x:f>
        <x:v>0.8</x:v>
      </x:c>
      <x:c r="Y39" s="28" t="n">
        <x:f>IF(CHOOSE($D$5,ISBLANK(Y40),ISBLANK(Y41),ISBLANK(Y42)),NA(),CHOOSE($D$5,Y40,Y41,Y42))</x:f>
        <x:v>0.8</x:v>
      </x:c>
      <x:c r="Z39" s="28" t="n">
        <x:f>IF(CHOOSE($D$5,ISBLANK(Z40),ISBLANK(Z41),ISBLANK(Z42)),NA(),CHOOSE($D$5,Z40,Z41,Z42))</x:f>
        <x:v>0.8</x:v>
      </x:c>
      <x:c r="AA39" s="28" t="n">
        <x:f>IF(CHOOSE($D$5,ISBLANK(AA40),ISBLANK(AA41),ISBLANK(AA42)),NA(),CHOOSE($D$5,AA40,AA41,AA42))</x:f>
        <x:v>0.8</x:v>
      </x:c>
    </x:row>
    <x:row r="40" ht="21" customHeight="1">
      <x:c r="A40" s="1"/>
      <x:c r="B40" s="1"/>
      <x:c r="C40" s="1" t="str">
        <x:v>Base</x:v>
      </x:c>
      <x:c r="D40" s="30" t="n">
        <x:v>0.8</x:v>
      </x:c>
      <x:c r="E40" s="30" t="n">
        <x:v>0.8</x:v>
      </x:c>
      <x:c r="F40" s="30" t="n">
        <x:v>0.8</x:v>
      </x:c>
      <x:c r="G40" s="30" t="n">
        <x:v>0.8</x:v>
      </x:c>
      <x:c r="H40" s="30" t="n">
        <x:v>0.8</x:v>
      </x:c>
      <x:c r="I40" s="30" t="n">
        <x:v>0.8</x:v>
      </x:c>
      <x:c r="J40" s="30" t="n">
        <x:v>0.8</x:v>
      </x:c>
      <x:c r="K40" s="30" t="n">
        <x:v>0.8</x:v>
      </x:c>
      <x:c r="L40" s="30" t="n">
        <x:v>0.8</x:v>
      </x:c>
      <x:c r="M40" s="30" t="n">
        <x:v>0.8</x:v>
      </x:c>
      <x:c r="N40" s="30" t="n">
        <x:v>0.8</x:v>
      </x:c>
      <x:c r="O40" s="30" t="n">
        <x:v>0.8</x:v>
      </x:c>
      <x:c r="P40" s="30" t="n">
        <x:v>0.8</x:v>
      </x:c>
      <x:c r="Q40" s="30" t="n">
        <x:v>0.8</x:v>
      </x:c>
      <x:c r="R40" s="30" t="n">
        <x:v>0.8</x:v>
      </x:c>
      <x:c r="S40" s="30" t="n">
        <x:v>0.8</x:v>
      </x:c>
      <x:c r="T40" s="30" t="n">
        <x:v>0.8</x:v>
      </x:c>
      <x:c r="U40" s="30" t="n">
        <x:v>0.8</x:v>
      </x:c>
      <x:c r="V40" s="30" t="n">
        <x:v>0.8</x:v>
      </x:c>
      <x:c r="W40" s="30" t="n">
        <x:v>0.8</x:v>
      </x:c>
      <x:c r="X40" s="30" t="n">
        <x:v>0.8</x:v>
      </x:c>
      <x:c r="Y40" s="30" t="n">
        <x:v>0.8</x:v>
      </x:c>
      <x:c r="Z40" s="30" t="n">
        <x:v>0.8</x:v>
      </x:c>
      <x:c r="AA40" s="30" t="n">
        <x:v>0.8</x:v>
      </x:c>
    </x:row>
    <x:row r="41" ht="21" customHeight="1">
      <x:c r="A41" s="1"/>
      <x:c r="B41" s="1"/>
      <x:c r="C41" s="1" t="str">
        <x:v>Downside</x:v>
      </x:c>
      <x:c r="D41" s="30" t="n">
        <x:v>0.76</x:v>
      </x:c>
      <x:c r="E41" s="30" t="n">
        <x:v>0.76</x:v>
      </x:c>
      <x:c r="F41" s="30" t="n">
        <x:v>0.76</x:v>
      </x:c>
      <x:c r="G41" s="30" t="n">
        <x:v>0.76</x:v>
      </x:c>
      <x:c r="H41" s="30" t="n">
        <x:v>0.76</x:v>
      </x:c>
      <x:c r="I41" s="30" t="n">
        <x:v>0.76</x:v>
      </x:c>
      <x:c r="J41" s="30" t="n">
        <x:v>0.76</x:v>
      </x:c>
      <x:c r="K41" s="30" t="n">
        <x:v>0.76</x:v>
      </x:c>
      <x:c r="L41" s="30" t="n">
        <x:v>0.76</x:v>
      </x:c>
      <x:c r="M41" s="30" t="n">
        <x:v>0.76</x:v>
      </x:c>
      <x:c r="N41" s="30" t="n">
        <x:v>0.76</x:v>
      </x:c>
      <x:c r="O41" s="30" t="n">
        <x:v>0.76</x:v>
      </x:c>
      <x:c r="P41" s="30" t="n">
        <x:v>0.76</x:v>
      </x:c>
      <x:c r="Q41" s="30" t="n">
        <x:v>0.76</x:v>
      </x:c>
      <x:c r="R41" s="30" t="n">
        <x:v>0.76</x:v>
      </x:c>
      <x:c r="S41" s="30" t="n">
        <x:v>0.76</x:v>
      </x:c>
      <x:c r="T41" s="30" t="n">
        <x:v>0.76</x:v>
      </x:c>
      <x:c r="U41" s="30" t="n">
        <x:v>0.76</x:v>
      </x:c>
      <x:c r="V41" s="30" t="n">
        <x:v>0.76</x:v>
      </x:c>
      <x:c r="W41" s="30" t="n">
        <x:v>0.76</x:v>
      </x:c>
      <x:c r="X41" s="30" t="n">
        <x:v>0.76</x:v>
      </x:c>
      <x:c r="Y41" s="30" t="n">
        <x:v>0.76</x:v>
      </x:c>
      <x:c r="Z41" s="30" t="n">
        <x:v>0.76</x:v>
      </x:c>
      <x:c r="AA41" s="30" t="n">
        <x:v>0.76</x:v>
      </x:c>
    </x:row>
    <x:row r="42" ht="21" customHeight="1">
      <x:c r="A42" s="1"/>
      <x:c r="B42" s="1"/>
      <x:c r="C42" s="1" t="str">
        <x:v>Upside</x:v>
      </x:c>
      <x:c r="D42" s="30" t="n">
        <x:v>0.82</x:v>
      </x:c>
      <x:c r="E42" s="30" t="n">
        <x:v>0.82</x:v>
      </x:c>
      <x:c r="F42" s="30" t="n">
        <x:v>0.82</x:v>
      </x:c>
      <x:c r="G42" s="30" t="n">
        <x:v>0.82</x:v>
      </x:c>
      <x:c r="H42" s="30" t="n">
        <x:v>0.82</x:v>
      </x:c>
      <x:c r="I42" s="30" t="n">
        <x:v>0.82</x:v>
      </x:c>
      <x:c r="J42" s="30" t="n">
        <x:v>0.82</x:v>
      </x:c>
      <x:c r="K42" s="30" t="n">
        <x:v>0.82</x:v>
      </x:c>
      <x:c r="L42" s="30" t="n">
        <x:v>0.82</x:v>
      </x:c>
      <x:c r="M42" s="30" t="n">
        <x:v>0.82</x:v>
      </x:c>
      <x:c r="N42" s="30" t="n">
        <x:v>0.82</x:v>
      </x:c>
      <x:c r="O42" s="30" t="n">
        <x:v>0.82</x:v>
      </x:c>
      <x:c r="P42" s="30" t="n">
        <x:v>0.82</x:v>
      </x:c>
      <x:c r="Q42" s="30" t="n">
        <x:v>0.82</x:v>
      </x:c>
      <x:c r="R42" s="30" t="n">
        <x:v>0.82</x:v>
      </x:c>
      <x:c r="S42" s="30" t="n">
        <x:v>0.82</x:v>
      </x:c>
      <x:c r="T42" s="30" t="n">
        <x:v>0.82</x:v>
      </x:c>
      <x:c r="U42" s="30" t="n">
        <x:v>0.82</x:v>
      </x:c>
      <x:c r="V42" s="30" t="n">
        <x:v>0.82</x:v>
      </x:c>
      <x:c r="W42" s="30" t="n">
        <x:v>0.82</x:v>
      </x:c>
      <x:c r="X42" s="30" t="n">
        <x:v>0.82</x:v>
      </x:c>
      <x:c r="Y42" s="30" t="n">
        <x:v>0.82</x:v>
      </x:c>
      <x:c r="Z42" s="30" t="n">
        <x:v>0.82</x:v>
      </x:c>
      <x:c r="AA42" s="30" t="n">
        <x:v>0.82</x:v>
      </x:c>
    </x:row>
    <x:row r="43" ht="21" customHeight="1">
      <x:c r="A43" s="1"/>
      <x:c r="B43" s="1"/>
      <x:c r="C43" s="19" t="str">
        <x:v>R&amp;D monthly cash expense · Active</x:v>
      </x:c>
      <x:c r="D43" s="21" t="n">
        <x:f>IF(CHOOSE($D$5,ISBLANK(D44),ISBLANK(D45),ISBLANK(D46)),NA(),CHOOSE($D$5,D44,D45,D46))</x:f>
        <x:v>28000</x:v>
      </x:c>
      <x:c r="E43" s="21" t="n">
        <x:f>IF(CHOOSE($D$5,ISBLANK(E44),ISBLANK(E45),ISBLANK(E46)),NA(),CHOOSE($D$5,E44,E45,E46))</x:f>
        <x:v>28280</x:v>
      </x:c>
      <x:c r="F43" s="21" t="n">
        <x:f>IF(CHOOSE($D$5,ISBLANK(F44),ISBLANK(F45),ISBLANK(F46)),NA(),CHOOSE($D$5,F44,F45,F46))</x:f>
        <x:v>28562.8</x:v>
      </x:c>
      <x:c r="G43" s="21" t="n">
        <x:f>IF(CHOOSE($D$5,ISBLANK(G44),ISBLANK(G45),ISBLANK(G46)),NA(),CHOOSE($D$5,G44,G45,G46))</x:f>
        <x:v>28848.428000000004</x:v>
      </x:c>
      <x:c r="H43" s="21" t="n">
        <x:f>IF(CHOOSE($D$5,ISBLANK(H44),ISBLANK(H45),ISBLANK(H46)),NA(),CHOOSE($D$5,H44,H45,H46))</x:f>
        <x:v>29136.91228</x:v>
      </x:c>
      <x:c r="I43" s="21" t="n">
        <x:f>IF(CHOOSE($D$5,ISBLANK(I44),ISBLANK(I45),ISBLANK(I46)),NA(),CHOOSE($D$5,I44,I45,I46))</x:f>
        <x:v>29428.281402800003</x:v>
      </x:c>
      <x:c r="J43" s="21" t="n">
        <x:f>IF(CHOOSE($D$5,ISBLANK(J44),ISBLANK(J45),ISBLANK(J46)),NA(),CHOOSE($D$5,J44,J45,J46))</x:f>
        <x:v>29722.564216828003</x:v>
      </x:c>
      <x:c r="K43" s="21" t="n">
        <x:f>IF(CHOOSE($D$5,ISBLANK(K44),ISBLANK(K45),ISBLANK(K46)),NA(),CHOOSE($D$5,K44,K45,K46))</x:f>
        <x:v>30019.789858996282</x:v>
      </x:c>
      <x:c r="L43" s="21" t="n">
        <x:f>IF(CHOOSE($D$5,ISBLANK(L44),ISBLANK(L45),ISBLANK(L46)),NA(),CHOOSE($D$5,L44,L45,L46))</x:f>
        <x:v>30319.987757586245</x:v>
      </x:c>
      <x:c r="M43" s="21" t="n">
        <x:f>IF(CHOOSE($D$5,ISBLANK(M44),ISBLANK(M45),ISBLANK(M46)),NA(),CHOOSE($D$5,M44,M45,M46))</x:f>
        <x:v>30623.187635162103</x:v>
      </x:c>
      <x:c r="N43" s="21" t="n">
        <x:f>IF(CHOOSE($D$5,ISBLANK(N44),ISBLANK(N45),ISBLANK(N46)),NA(),CHOOSE($D$5,N44,N45,N46))</x:f>
        <x:v>30929.419511513726</x:v>
      </x:c>
      <x:c r="O43" s="21" t="n">
        <x:f>IF(CHOOSE($D$5,ISBLANK(O44),ISBLANK(O45),ISBLANK(O46)),NA(),CHOOSE($D$5,O44,O45,O46))</x:f>
        <x:v>31238.713706628863</x:v>
      </x:c>
      <x:c r="P43" s="21" t="n">
        <x:f>IF(CHOOSE($D$5,ISBLANK(P44),ISBLANK(P45),ISBLANK(P46)),NA(),CHOOSE($D$5,P44,P45,P46))</x:f>
        <x:v>31551.100843695152</x:v>
      </x:c>
      <x:c r="Q43" s="21" t="n">
        <x:f>IF(CHOOSE($D$5,ISBLANK(Q44),ISBLANK(Q45),ISBLANK(Q46)),NA(),CHOOSE($D$5,Q44,Q45,Q46))</x:f>
        <x:v>31866.611852132108</x:v>
      </x:c>
      <x:c r="R43" s="21" t="n">
        <x:f>IF(CHOOSE($D$5,ISBLANK(R44),ISBLANK(R45),ISBLANK(R46)),NA(),CHOOSE($D$5,R44,R45,R46))</x:f>
        <x:v>32185.27797065343</x:v>
      </x:c>
      <x:c r="S43" s="21" t="n">
        <x:f>IF(CHOOSE($D$5,ISBLANK(S44),ISBLANK(S45),ISBLANK(S46)),NA(),CHOOSE($D$5,S44,S45,S46))</x:f>
        <x:v>32507.130750359964</x:v>
      </x:c>
      <x:c r="T43" s="21" t="n">
        <x:f>IF(CHOOSE($D$5,ISBLANK(T44),ISBLANK(T45),ISBLANK(T46)),NA(),CHOOSE($D$5,T44,T45,T46))</x:f>
        <x:v>32832.202057863564</x:v>
      </x:c>
      <x:c r="U43" s="21" t="n">
        <x:f>IF(CHOOSE($D$5,ISBLANK(U44),ISBLANK(U45),ISBLANK(U46)),NA(),CHOOSE($D$5,U44,U45,U46))</x:f>
        <x:v>33160.5240784422</x:v>
      </x:c>
      <x:c r="V43" s="21" t="n">
        <x:f>IF(CHOOSE($D$5,ISBLANK(V44),ISBLANK(V45),ISBLANK(V46)),NA(),CHOOSE($D$5,V44,V45,V46))</x:f>
        <x:v>33492.129319226624</x:v>
      </x:c>
      <x:c r="W43" s="21" t="n">
        <x:f>IF(CHOOSE($D$5,ISBLANK(W44),ISBLANK(W45),ISBLANK(W46)),NA(),CHOOSE($D$5,W44,W45,W46))</x:f>
        <x:v>33827.05061241888</x:v>
      </x:c>
      <x:c r="X43" s="21" t="n">
        <x:f>IF(CHOOSE($D$5,ISBLANK(X44),ISBLANK(X45),ISBLANK(X46)),NA(),CHOOSE($D$5,X44,X45,X46))</x:f>
        <x:v>34165.32111854308</x:v>
      </x:c>
      <x:c r="Y43" s="21" t="n">
        <x:f>IF(CHOOSE($D$5,ISBLANK(Y44),ISBLANK(Y45),ISBLANK(Y46)),NA(),CHOOSE($D$5,Y44,Y45,Y46))</x:f>
        <x:v>34506.97432972851</x:v>
      </x:c>
      <x:c r="Z43" s="21" t="n">
        <x:f>IF(CHOOSE($D$5,ISBLANK(Z44),ISBLANK(Z45),ISBLANK(Z46)),NA(),CHOOSE($D$5,Z44,Z45,Z46))</x:f>
        <x:v>34852.04407302579</x:v>
      </x:c>
      <x:c r="AA43" s="21" t="n">
        <x:f>IF(CHOOSE($D$5,ISBLANK(AA44),ISBLANK(AA45),ISBLANK(AA46)),NA(),CHOOSE($D$5,AA44,AA45,AA46))</x:f>
        <x:v>35200.56451375605</x:v>
      </x:c>
    </x:row>
    <x:row r="44" ht="21" customHeight="1">
      <x:c r="A44" s="1"/>
      <x:c r="B44" s="1"/>
      <x:c r="C44" s="1" t="str">
        <x:v>Base</x:v>
      </x:c>
      <x:c r="D44" s="23" t="n">
        <x:v>28000</x:v>
      </x:c>
      <x:c r="E44" s="23" t="n">
        <x:v>28280</x:v>
      </x:c>
      <x:c r="F44" s="23" t="n">
        <x:v>28562.8</x:v>
      </x:c>
      <x:c r="G44" s="23" t="n">
        <x:v>28848.428000000004</x:v>
      </x:c>
      <x:c r="H44" s="23" t="n">
        <x:v>29136.91228</x:v>
      </x:c>
      <x:c r="I44" s="23" t="n">
        <x:v>29428.281402800003</x:v>
      </x:c>
      <x:c r="J44" s="23" t="n">
        <x:v>29722.564216828003</x:v>
      </x:c>
      <x:c r="K44" s="23" t="n">
        <x:v>30019.789858996282</x:v>
      </x:c>
      <x:c r="L44" s="23" t="n">
        <x:v>30319.987757586245</x:v>
      </x:c>
      <x:c r="M44" s="23" t="n">
        <x:v>30623.187635162103</x:v>
      </x:c>
      <x:c r="N44" s="23" t="n">
        <x:v>30929.419511513726</x:v>
      </x:c>
      <x:c r="O44" s="23" t="n">
        <x:v>31238.713706628863</x:v>
      </x:c>
      <x:c r="P44" s="23" t="n">
        <x:v>31551.100843695152</x:v>
      </x:c>
      <x:c r="Q44" s="23" t="n">
        <x:v>31866.611852132108</x:v>
      </x:c>
      <x:c r="R44" s="23" t="n">
        <x:v>32185.27797065343</x:v>
      </x:c>
      <x:c r="S44" s="23" t="n">
        <x:v>32507.130750359964</x:v>
      </x:c>
      <x:c r="T44" s="23" t="n">
        <x:v>32832.202057863564</x:v>
      </x:c>
      <x:c r="U44" s="23" t="n">
        <x:v>33160.5240784422</x:v>
      </x:c>
      <x:c r="V44" s="23" t="n">
        <x:v>33492.129319226624</x:v>
      </x:c>
      <x:c r="W44" s="23" t="n">
        <x:v>33827.05061241888</x:v>
      </x:c>
      <x:c r="X44" s="23" t="n">
        <x:v>34165.32111854308</x:v>
      </x:c>
      <x:c r="Y44" s="23" t="n">
        <x:v>34506.97432972851</x:v>
      </x:c>
      <x:c r="Z44" s="23" t="n">
        <x:v>34852.04407302579</x:v>
      </x:c>
      <x:c r="AA44" s="23" t="n">
        <x:v>35200.56451375605</x:v>
      </x:c>
    </x:row>
    <x:row r="45" ht="21" customHeight="1">
      <x:c r="A45" s="1"/>
      <x:c r="B45" s="1"/>
      <x:c r="C45" s="1" t="str">
        <x:v>Downside</x:v>
      </x:c>
      <x:c r="D45" s="23" t="n">
        <x:v>28000</x:v>
      </x:c>
      <x:c r="E45" s="23" t="n">
        <x:v>28280</x:v>
      </x:c>
      <x:c r="F45" s="23" t="n">
        <x:v>28562.8</x:v>
      </x:c>
      <x:c r="G45" s="23" t="n">
        <x:v>28848.428000000004</x:v>
      </x:c>
      <x:c r="H45" s="23" t="n">
        <x:v>29136.91228</x:v>
      </x:c>
      <x:c r="I45" s="23" t="n">
        <x:v>29428.281402800003</x:v>
      </x:c>
      <x:c r="J45" s="23" t="n">
        <x:v>29722.564216828003</x:v>
      </x:c>
      <x:c r="K45" s="23" t="n">
        <x:v>30019.789858996282</x:v>
      </x:c>
      <x:c r="L45" s="23" t="n">
        <x:v>30319.987757586245</x:v>
      </x:c>
      <x:c r="M45" s="23" t="n">
        <x:v>30623.187635162103</x:v>
      </x:c>
      <x:c r="N45" s="23" t="n">
        <x:v>30929.419511513726</x:v>
      </x:c>
      <x:c r="O45" s="23" t="n">
        <x:v>31238.713706628863</x:v>
      </x:c>
      <x:c r="P45" s="23" t="n">
        <x:v>31551.100843695152</x:v>
      </x:c>
      <x:c r="Q45" s="23" t="n">
        <x:v>31866.611852132108</x:v>
      </x:c>
      <x:c r="R45" s="23" t="n">
        <x:v>32185.27797065343</x:v>
      </x:c>
      <x:c r="S45" s="23" t="n">
        <x:v>32507.130750359964</x:v>
      </x:c>
      <x:c r="T45" s="23" t="n">
        <x:v>32832.202057863564</x:v>
      </x:c>
      <x:c r="U45" s="23" t="n">
        <x:v>33160.5240784422</x:v>
      </x:c>
      <x:c r="V45" s="23" t="n">
        <x:v>33492.129319226624</x:v>
      </x:c>
      <x:c r="W45" s="23" t="n">
        <x:v>33827.05061241888</x:v>
      </x:c>
      <x:c r="X45" s="23" t="n">
        <x:v>34165.32111854308</x:v>
      </x:c>
      <x:c r="Y45" s="23" t="n">
        <x:v>34506.97432972851</x:v>
      </x:c>
      <x:c r="Z45" s="23" t="n">
        <x:v>34852.04407302579</x:v>
      </x:c>
      <x:c r="AA45" s="23" t="n">
        <x:v>35200.56451375605</x:v>
      </x:c>
    </x:row>
    <x:row r="46" ht="21" customHeight="1">
      <x:c r="A46" s="1"/>
      <x:c r="B46" s="1"/>
      <x:c r="C46" s="1" t="str">
        <x:v>Upside</x:v>
      </x:c>
      <x:c r="D46" s="23" t="n">
        <x:v>32000</x:v>
      </x:c>
      <x:c r="E46" s="23" t="n">
        <x:v>32384</x:v>
      </x:c>
      <x:c r="F46" s="23" t="n">
        <x:v>32772.608</x:v>
      </x:c>
      <x:c r="G46" s="23" t="n">
        <x:v>33165.879296</x:v>
      </x:c>
      <x:c r="H46" s="23" t="n">
        <x:v>33563.869847552</x:v>
      </x:c>
      <x:c r="I46" s="23" t="n">
        <x:v>33966.63628572263</x:v>
      </x:c>
      <x:c r="J46" s="23" t="n">
        <x:v>34374.235921151296</x:v>
      </x:c>
      <x:c r="K46" s="23" t="n">
        <x:v>34786.72675220511</x:v>
      </x:c>
      <x:c r="L46" s="23" t="n">
        <x:v>35204.16747323158</x:v>
      </x:c>
      <x:c r="M46" s="23" t="n">
        <x:v>35626.617482910355</x:v>
      </x:c>
      <x:c r="N46" s="23" t="n">
        <x:v>36054.13689270528</x:v>
      </x:c>
      <x:c r="O46" s="23" t="n">
        <x:v>36486.78653541774</x:v>
      </x:c>
      <x:c r="P46" s="23" t="n">
        <x:v>36924.627973842755</x:v>
      </x:c>
      <x:c r="Q46" s="23" t="n">
        <x:v>37367.72350952887</x:v>
      </x:c>
      <x:c r="R46" s="23" t="n">
        <x:v>37816.136191643214</x:v>
      </x:c>
      <x:c r="S46" s="23" t="n">
        <x:v>38269.92982594294</x:v>
      </x:c>
      <x:c r="T46" s="23" t="n">
        <x:v>38729.16898385425</x:v>
      </x:c>
      <x:c r="U46" s="23" t="n">
        <x:v>39193.9190116605</x:v>
      </x:c>
      <x:c r="V46" s="23" t="n">
        <x:v>39664.24603980043</x:v>
      </x:c>
      <x:c r="W46" s="23" t="n">
        <x:v>40140.21699227804</x:v>
      </x:c>
      <x:c r="X46" s="23" t="n">
        <x:v>40621.89959618537</x:v>
      </x:c>
      <x:c r="Y46" s="23" t="n">
        <x:v>41109.36239133959</x:v>
      </x:c>
      <x:c r="Z46" s="23" t="n">
        <x:v>41602.674740035676</x:v>
      </x:c>
      <x:c r="AA46" s="23" t="n">
        <x:v>42101.9068369161</x:v>
      </x:c>
    </x:row>
    <x:row r="47" ht="21" customHeight="1">
      <x:c r="A47" s="1"/>
      <x:c r="B47" s="1"/>
      <x:c r="C47" s="19" t="str">
        <x:v>G&amp;A monthly cash expense · Active</x:v>
      </x:c>
      <x:c r="D47" s="21" t="n">
        <x:f>IF(CHOOSE($D$5,ISBLANK(D48),ISBLANK(D49),ISBLANK(D50)),NA(),CHOOSE($D$5,D48,D49,D50))</x:f>
        <x:v>18000</x:v>
      </x:c>
      <x:c r="E47" s="21" t="n">
        <x:f>IF(CHOOSE($D$5,ISBLANK(E48),ISBLANK(E49),ISBLANK(E50)),NA(),CHOOSE($D$5,E48,E49,E50))</x:f>
        <x:v>18144</x:v>
      </x:c>
      <x:c r="F47" s="21" t="n">
        <x:f>IF(CHOOSE($D$5,ISBLANK(F48),ISBLANK(F49),ISBLANK(F50)),NA(),CHOOSE($D$5,F48,F49,F50))</x:f>
        <x:v>18289.152000000002</x:v>
      </x:c>
      <x:c r="G47" s="21" t="n">
        <x:f>IF(CHOOSE($D$5,ISBLANK(G48),ISBLANK(G49),ISBLANK(G50)),NA(),CHOOSE($D$5,G48,G49,G50))</x:f>
        <x:v>18435.465216</x:v>
      </x:c>
      <x:c r="H47" s="21" t="n">
        <x:f>IF(CHOOSE($D$5,ISBLANK(H48),ISBLANK(H49),ISBLANK(H50)),NA(),CHOOSE($D$5,H48,H49,H50))</x:f>
        <x:v>18582.948937728</x:v>
      </x:c>
      <x:c r="I47" s="21" t="n">
        <x:f>IF(CHOOSE($D$5,ISBLANK(I48),ISBLANK(I49),ISBLANK(I50)),NA(),CHOOSE($D$5,I48,I49,I50))</x:f>
        <x:v>18731.612529229827</x:v>
      </x:c>
      <x:c r="J47" s="21" t="n">
        <x:f>IF(CHOOSE($D$5,ISBLANK(J48),ISBLANK(J49),ISBLANK(J50)),NA(),CHOOSE($D$5,J48,J49,J50))</x:f>
        <x:v>18881.46542946366</x:v>
      </x:c>
      <x:c r="K47" s="21" t="n">
        <x:f>IF(CHOOSE($D$5,ISBLANK(K48),ISBLANK(K49),ISBLANK(K50)),NA(),CHOOSE($D$5,K48,K49,K50))</x:f>
        <x:v>19032.517152899374</x:v>
      </x:c>
      <x:c r="L47" s="21" t="n">
        <x:f>IF(CHOOSE($D$5,ISBLANK(L48),ISBLANK(L49),ISBLANK(L50)),NA(),CHOOSE($D$5,L48,L49,L50))</x:f>
        <x:v>19184.77729012257</x:v>
      </x:c>
      <x:c r="M47" s="21" t="n">
        <x:f>IF(CHOOSE($D$5,ISBLANK(M48),ISBLANK(M49),ISBLANK(M50)),NA(),CHOOSE($D$5,M48,M49,M50))</x:f>
        <x:v>19338.255508443548</x:v>
      </x:c>
      <x:c r="N47" s="21" t="n">
        <x:f>IF(CHOOSE($D$5,ISBLANK(N48),ISBLANK(N49),ISBLANK(N50)),NA(),CHOOSE($D$5,N48,N49,N50))</x:f>
        <x:v>19492.961552511097</x:v>
      </x:c>
      <x:c r="O47" s="21" t="n">
        <x:f>IF(CHOOSE($D$5,ISBLANK(O48),ISBLANK(O49),ISBLANK(O50)),NA(),CHOOSE($D$5,O48,O49,O50))</x:f>
        <x:v>19648.905244931186</x:v>
      </x:c>
      <x:c r="P47" s="21" t="n">
        <x:f>IF(CHOOSE($D$5,ISBLANK(P48),ISBLANK(P49),ISBLANK(P50)),NA(),CHOOSE($D$5,P48,P49,P50))</x:f>
        <x:v>19806.096486890634</x:v>
      </x:c>
      <x:c r="Q47" s="21" t="n">
        <x:f>IF(CHOOSE($D$5,ISBLANK(Q48),ISBLANK(Q49),ISBLANK(Q50)),NA(),CHOOSE($D$5,Q48,Q49,Q50))</x:f>
        <x:v>19964.545258785758</x:v>
      </x:c>
      <x:c r="R47" s="21" t="n">
        <x:f>IF(CHOOSE($D$5,ISBLANK(R48),ISBLANK(R49),ISBLANK(R50)),NA(),CHOOSE($D$5,R48,R49,R50))</x:f>
        <x:v>20124.26162085605</x:v>
      </x:c>
      <x:c r="S47" s="21" t="n">
        <x:f>IF(CHOOSE($D$5,ISBLANK(S48),ISBLANK(S49),ISBLANK(S50)),NA(),CHOOSE($D$5,S48,S49,S50))</x:f>
        <x:v>20285.255713822895</x:v>
      </x:c>
      <x:c r="T47" s="21" t="n">
        <x:f>IF(CHOOSE($D$5,ISBLANK(T48),ISBLANK(T49),ISBLANK(T50)),NA(),CHOOSE($D$5,T48,T49,T50))</x:f>
        <x:v>20447.53775953348</x:v>
      </x:c>
      <x:c r="U47" s="21" t="n">
        <x:f>IF(CHOOSE($D$5,ISBLANK(U48),ISBLANK(U49),ISBLANK(U50)),NA(),CHOOSE($D$5,U48,U49,U50))</x:f>
        <x:v>20611.118061609748</x:v>
      </x:c>
      <x:c r="V47" s="21" t="n">
        <x:f>IF(CHOOSE($D$5,ISBLANK(V48),ISBLANK(V49),ISBLANK(V50)),NA(),CHOOSE($D$5,V48,V49,V50))</x:f>
        <x:v>20776.007006102627</x:v>
      </x:c>
      <x:c r="W47" s="21" t="n">
        <x:f>IF(CHOOSE($D$5,ISBLANK(W48),ISBLANK(W49),ISBLANK(W50)),NA(),CHOOSE($D$5,W48,W49,W50))</x:f>
        <x:v>20942.215062151445</x:v>
      </x:c>
      <x:c r="X47" s="21" t="n">
        <x:f>IF(CHOOSE($D$5,ISBLANK(X48),ISBLANK(X49),ISBLANK(X50)),NA(),CHOOSE($D$5,X48,X49,X50))</x:f>
        <x:v>21109.752782648655</x:v>
      </x:c>
      <x:c r="Y47" s="21" t="n">
        <x:f>IF(CHOOSE($D$5,ISBLANK(Y48),ISBLANK(Y49),ISBLANK(Y50)),NA(),CHOOSE($D$5,Y48,Y49,Y50))</x:f>
        <x:v>21278.630804909848</x:v>
      </x:c>
      <x:c r="Z47" s="21" t="n">
        <x:f>IF(CHOOSE($D$5,ISBLANK(Z48),ISBLANK(Z49),ISBLANK(Z50)),NA(),CHOOSE($D$5,Z48,Z49,Z50))</x:f>
        <x:v>21448.859851349123</x:v>
      </x:c>
      <x:c r="AA47" s="21" t="n">
        <x:f>IF(CHOOSE($D$5,ISBLANK(AA48),ISBLANK(AA49),ISBLANK(AA50)),NA(),CHOOSE($D$5,AA48,AA49,AA50))</x:f>
        <x:v>21620.45073015992</x:v>
      </x:c>
    </x:row>
    <x:row r="48" ht="21" customHeight="1">
      <x:c r="A48" s="1"/>
      <x:c r="B48" s="1"/>
      <x:c r="C48" s="1" t="str">
        <x:v>Base</x:v>
      </x:c>
      <x:c r="D48" s="23" t="n">
        <x:v>18000</x:v>
      </x:c>
      <x:c r="E48" s="23" t="n">
        <x:v>18144</x:v>
      </x:c>
      <x:c r="F48" s="23" t="n">
        <x:v>18289.152000000002</x:v>
      </x:c>
      <x:c r="G48" s="23" t="n">
        <x:v>18435.465216</x:v>
      </x:c>
      <x:c r="H48" s="23" t="n">
        <x:v>18582.948937728</x:v>
      </x:c>
      <x:c r="I48" s="23" t="n">
        <x:v>18731.612529229827</x:v>
      </x:c>
      <x:c r="J48" s="23" t="n">
        <x:v>18881.46542946366</x:v>
      </x:c>
      <x:c r="K48" s="23" t="n">
        <x:v>19032.517152899374</x:v>
      </x:c>
      <x:c r="L48" s="23" t="n">
        <x:v>19184.77729012257</x:v>
      </x:c>
      <x:c r="M48" s="23" t="n">
        <x:v>19338.255508443548</x:v>
      </x:c>
      <x:c r="N48" s="23" t="n">
        <x:v>19492.961552511097</x:v>
      </x:c>
      <x:c r="O48" s="23" t="n">
        <x:v>19648.905244931186</x:v>
      </x:c>
      <x:c r="P48" s="23" t="n">
        <x:v>19806.096486890634</x:v>
      </x:c>
      <x:c r="Q48" s="23" t="n">
        <x:v>19964.545258785758</x:v>
      </x:c>
      <x:c r="R48" s="23" t="n">
        <x:v>20124.26162085605</x:v>
      </x:c>
      <x:c r="S48" s="23" t="n">
        <x:v>20285.255713822895</x:v>
      </x:c>
      <x:c r="T48" s="23" t="n">
        <x:v>20447.53775953348</x:v>
      </x:c>
      <x:c r="U48" s="23" t="n">
        <x:v>20611.118061609748</x:v>
      </x:c>
      <x:c r="V48" s="23" t="n">
        <x:v>20776.007006102627</x:v>
      </x:c>
      <x:c r="W48" s="23" t="n">
        <x:v>20942.215062151445</x:v>
      </x:c>
      <x:c r="X48" s="23" t="n">
        <x:v>21109.752782648655</x:v>
      </x:c>
      <x:c r="Y48" s="23" t="n">
        <x:v>21278.630804909848</x:v>
      </x:c>
      <x:c r="Z48" s="23" t="n">
        <x:v>21448.859851349123</x:v>
      </x:c>
      <x:c r="AA48" s="23" t="n">
        <x:v>21620.45073015992</x:v>
      </x:c>
    </x:row>
    <x:row r="49" ht="21" customHeight="1">
      <x:c r="A49" s="1"/>
      <x:c r="B49" s="1"/>
      <x:c r="C49" s="1" t="str">
        <x:v>Downside</x:v>
      </x:c>
      <x:c r="D49" s="23" t="n">
        <x:v>18000</x:v>
      </x:c>
      <x:c r="E49" s="23" t="n">
        <x:v>18144</x:v>
      </x:c>
      <x:c r="F49" s="23" t="n">
        <x:v>18289.152000000002</x:v>
      </x:c>
      <x:c r="G49" s="23" t="n">
        <x:v>18435.465216</x:v>
      </x:c>
      <x:c r="H49" s="23" t="n">
        <x:v>18582.948937728</x:v>
      </x:c>
      <x:c r="I49" s="23" t="n">
        <x:v>18731.612529229827</x:v>
      </x:c>
      <x:c r="J49" s="23" t="n">
        <x:v>18881.46542946366</x:v>
      </x:c>
      <x:c r="K49" s="23" t="n">
        <x:v>19032.517152899374</x:v>
      </x:c>
      <x:c r="L49" s="23" t="n">
        <x:v>19184.77729012257</x:v>
      </x:c>
      <x:c r="M49" s="23" t="n">
        <x:v>19338.255508443548</x:v>
      </x:c>
      <x:c r="N49" s="23" t="n">
        <x:v>19492.961552511097</x:v>
      </x:c>
      <x:c r="O49" s="23" t="n">
        <x:v>19648.905244931186</x:v>
      </x:c>
      <x:c r="P49" s="23" t="n">
        <x:v>19806.096486890634</x:v>
      </x:c>
      <x:c r="Q49" s="23" t="n">
        <x:v>19964.545258785758</x:v>
      </x:c>
      <x:c r="R49" s="23" t="n">
        <x:v>20124.26162085605</x:v>
      </x:c>
      <x:c r="S49" s="23" t="n">
        <x:v>20285.255713822895</x:v>
      </x:c>
      <x:c r="T49" s="23" t="n">
        <x:v>20447.53775953348</x:v>
      </x:c>
      <x:c r="U49" s="23" t="n">
        <x:v>20611.118061609748</x:v>
      </x:c>
      <x:c r="V49" s="23" t="n">
        <x:v>20776.007006102627</x:v>
      </x:c>
      <x:c r="W49" s="23" t="n">
        <x:v>20942.215062151445</x:v>
      </x:c>
      <x:c r="X49" s="23" t="n">
        <x:v>21109.752782648655</x:v>
      </x:c>
      <x:c r="Y49" s="23" t="n">
        <x:v>21278.630804909848</x:v>
      </x:c>
      <x:c r="Z49" s="23" t="n">
        <x:v>21448.859851349123</x:v>
      </x:c>
      <x:c r="AA49" s="23" t="n">
        <x:v>21620.45073015992</x:v>
      </x:c>
    </x:row>
    <x:row r="50" ht="21" customHeight="1">
      <x:c r="A50" s="1"/>
      <x:c r="B50" s="1"/>
      <x:c r="C50" s="1" t="str">
        <x:v>Upside</x:v>
      </x:c>
      <x:c r="D50" s="23" t="n">
        <x:v>20000</x:v>
      </x:c>
      <x:c r="E50" s="23" t="n">
        <x:v>20200</x:v>
      </x:c>
      <x:c r="F50" s="23" t="n">
        <x:v>20402</x:v>
      </x:c>
      <x:c r="G50" s="23" t="n">
        <x:v>20606.020000000004</x:v>
      </x:c>
      <x:c r="H50" s="23" t="n">
        <x:v>20812.0802</x:v>
      </x:c>
      <x:c r="I50" s="23" t="n">
        <x:v>21020.201002</x:v>
      </x:c>
      <x:c r="J50" s="23" t="n">
        <x:v>21230.403012020004</x:v>
      </x:c>
      <x:c r="K50" s="23" t="n">
        <x:v>21442.707042140202</x:v>
      </x:c>
      <x:c r="L50" s="23" t="n">
        <x:v>21657.134112561605</x:v>
      </x:c>
      <x:c r="M50" s="23" t="n">
        <x:v>21873.705453687217</x:v>
      </x:c>
      <x:c r="N50" s="23" t="n">
        <x:v>22092.442508224092</x:v>
      </x:c>
      <x:c r="O50" s="23" t="n">
        <x:v>22313.36693330633</x:v>
      </x:c>
      <x:c r="P50" s="23" t="n">
        <x:v>22536.500602639397</x:v>
      </x:c>
      <x:c r="Q50" s="23" t="n">
        <x:v>22761.86560866579</x:v>
      </x:c>
      <x:c r="R50" s="23" t="n">
        <x:v>22989.484264752453</x:v>
      </x:c>
      <x:c r="S50" s="23" t="n">
        <x:v>23219.379107399975</x:v>
      </x:c>
      <x:c r="T50" s="23" t="n">
        <x:v>23451.572898473976</x:v>
      </x:c>
      <x:c r="U50" s="23" t="n">
        <x:v>23686.088627458714</x:v>
      </x:c>
      <x:c r="V50" s="23" t="n">
        <x:v>23922.9495137333</x:v>
      </x:c>
      <x:c r="W50" s="23" t="n">
        <x:v>24162.179008870633</x:v>
      </x:c>
      <x:c r="X50" s="23" t="n">
        <x:v>24403.800798959343</x:v>
      </x:c>
      <x:c r="Y50" s="23" t="n">
        <x:v>24647.838806948937</x:v>
      </x:c>
      <x:c r="Z50" s="23" t="n">
        <x:v>24894.317195018422</x:v>
      </x:c>
      <x:c r="AA50" s="23" t="n">
        <x:v>25143.260366968607</x:v>
      </x:c>
    </x:row>
    <x:row r="51" ht="21" customHeight="1">
      <x:c r="A51" s="1"/>
      <x:c r="B51" s="1"/>
      <x:c r="C51" s="19" t="str">
        <x:v>Monthly cash capex · Active</x:v>
      </x:c>
      <x:c r="D51" s="21" t="n">
        <x:f>IF(CHOOSE($D$5,ISBLANK(D52),ISBLANK(D53),ISBLANK(D54)),NA(),CHOOSE($D$5,D52,D53,D54))</x:f>
        <x:v>5000</x:v>
      </x:c>
      <x:c r="E51" s="21" t="n">
        <x:f>IF(CHOOSE($D$5,ISBLANK(E52),ISBLANK(E53),ISBLANK(E54)),NA(),CHOOSE($D$5,E52,E53,E54))</x:f>
        <x:v>5000</x:v>
      </x:c>
      <x:c r="F51" s="21" t="n">
        <x:f>IF(CHOOSE($D$5,ISBLANK(F52),ISBLANK(F53),ISBLANK(F54)),NA(),CHOOSE($D$5,F52,F53,F54))</x:f>
        <x:v>5000</x:v>
      </x:c>
      <x:c r="G51" s="21" t="n">
        <x:f>IF(CHOOSE($D$5,ISBLANK(G52),ISBLANK(G53),ISBLANK(G54)),NA(),CHOOSE($D$5,G52,G53,G54))</x:f>
        <x:v>5000</x:v>
      </x:c>
      <x:c r="H51" s="21" t="n">
        <x:f>IF(CHOOSE($D$5,ISBLANK(H52),ISBLANK(H53),ISBLANK(H54)),NA(),CHOOSE($D$5,H52,H53,H54))</x:f>
        <x:v>5000</x:v>
      </x:c>
      <x:c r="I51" s="21" t="n">
        <x:f>IF(CHOOSE($D$5,ISBLANK(I52),ISBLANK(I53),ISBLANK(I54)),NA(),CHOOSE($D$5,I52,I53,I54))</x:f>
        <x:v>5000</x:v>
      </x:c>
      <x:c r="J51" s="21" t="n">
        <x:f>IF(CHOOSE($D$5,ISBLANK(J52),ISBLANK(J53),ISBLANK(J54)),NA(),CHOOSE($D$5,J52,J53,J54))</x:f>
        <x:v>5000</x:v>
      </x:c>
      <x:c r="K51" s="21" t="n">
        <x:f>IF(CHOOSE($D$5,ISBLANK(K52),ISBLANK(K53),ISBLANK(K54)),NA(),CHOOSE($D$5,K52,K53,K54))</x:f>
        <x:v>5000</x:v>
      </x:c>
      <x:c r="L51" s="21" t="n">
        <x:f>IF(CHOOSE($D$5,ISBLANK(L52),ISBLANK(L53),ISBLANK(L54)),NA(),CHOOSE($D$5,L52,L53,L54))</x:f>
        <x:v>5000</x:v>
      </x:c>
      <x:c r="M51" s="21" t="n">
        <x:f>IF(CHOOSE($D$5,ISBLANK(M52),ISBLANK(M53),ISBLANK(M54)),NA(),CHOOSE($D$5,M52,M53,M54))</x:f>
        <x:v>5000</x:v>
      </x:c>
      <x:c r="N51" s="21" t="n">
        <x:f>IF(CHOOSE($D$5,ISBLANK(N52),ISBLANK(N53),ISBLANK(N54)),NA(),CHOOSE($D$5,N52,N53,N54))</x:f>
        <x:v>5000</x:v>
      </x:c>
      <x:c r="O51" s="21" t="n">
        <x:f>IF(CHOOSE($D$5,ISBLANK(O52),ISBLANK(O53),ISBLANK(O54)),NA(),CHOOSE($D$5,O52,O53,O54))</x:f>
        <x:v>5000</x:v>
      </x:c>
      <x:c r="P51" s="21" t="n">
        <x:f>IF(CHOOSE($D$5,ISBLANK(P52),ISBLANK(P53),ISBLANK(P54)),NA(),CHOOSE($D$5,P52,P53,P54))</x:f>
        <x:v>5000</x:v>
      </x:c>
      <x:c r="Q51" s="21" t="n">
        <x:f>IF(CHOOSE($D$5,ISBLANK(Q52),ISBLANK(Q53),ISBLANK(Q54)),NA(),CHOOSE($D$5,Q52,Q53,Q54))</x:f>
        <x:v>5000</x:v>
      </x:c>
      <x:c r="R51" s="21" t="n">
        <x:f>IF(CHOOSE($D$5,ISBLANK(R52),ISBLANK(R53),ISBLANK(R54)),NA(),CHOOSE($D$5,R52,R53,R54))</x:f>
        <x:v>5000</x:v>
      </x:c>
      <x:c r="S51" s="21" t="n">
        <x:f>IF(CHOOSE($D$5,ISBLANK(S52),ISBLANK(S53),ISBLANK(S54)),NA(),CHOOSE($D$5,S52,S53,S54))</x:f>
        <x:v>5000</x:v>
      </x:c>
      <x:c r="T51" s="21" t="n">
        <x:f>IF(CHOOSE($D$5,ISBLANK(T52),ISBLANK(T53),ISBLANK(T54)),NA(),CHOOSE($D$5,T52,T53,T54))</x:f>
        <x:v>5000</x:v>
      </x:c>
      <x:c r="U51" s="21" t="n">
        <x:f>IF(CHOOSE($D$5,ISBLANK(U52),ISBLANK(U53),ISBLANK(U54)),NA(),CHOOSE($D$5,U52,U53,U54))</x:f>
        <x:v>5000</x:v>
      </x:c>
      <x:c r="V51" s="21" t="n">
        <x:f>IF(CHOOSE($D$5,ISBLANK(V52),ISBLANK(V53),ISBLANK(V54)),NA(),CHOOSE($D$5,V52,V53,V54))</x:f>
        <x:v>5000</x:v>
      </x:c>
      <x:c r="W51" s="21" t="n">
        <x:f>IF(CHOOSE($D$5,ISBLANK(W52),ISBLANK(W53),ISBLANK(W54)),NA(),CHOOSE($D$5,W52,W53,W54))</x:f>
        <x:v>5000</x:v>
      </x:c>
      <x:c r="X51" s="21" t="n">
        <x:f>IF(CHOOSE($D$5,ISBLANK(X52),ISBLANK(X53),ISBLANK(X54)),NA(),CHOOSE($D$5,X52,X53,X54))</x:f>
        <x:v>5000</x:v>
      </x:c>
      <x:c r="Y51" s="21" t="n">
        <x:f>IF(CHOOSE($D$5,ISBLANK(Y52),ISBLANK(Y53),ISBLANK(Y54)),NA(),CHOOSE($D$5,Y52,Y53,Y54))</x:f>
        <x:v>5000</x:v>
      </x:c>
      <x:c r="Z51" s="21" t="n">
        <x:f>IF(CHOOSE($D$5,ISBLANK(Z52),ISBLANK(Z53),ISBLANK(Z54)),NA(),CHOOSE($D$5,Z52,Z53,Z54))</x:f>
        <x:v>5000</x:v>
      </x:c>
      <x:c r="AA51" s="21" t="n">
        <x:f>IF(CHOOSE($D$5,ISBLANK(AA52),ISBLANK(AA53),ISBLANK(AA54)),NA(),CHOOSE($D$5,AA52,AA53,AA54))</x:f>
        <x:v>5000</x:v>
      </x:c>
    </x:row>
    <x:row r="52" ht="21" customHeight="1">
      <x:c r="A52" s="1"/>
      <x:c r="B52" s="1"/>
      <x:c r="C52" s="1" t="str">
        <x:v>Base</x:v>
      </x:c>
      <x:c r="D52" s="23" t="n">
        <x:v>5000</x:v>
      </x:c>
      <x:c r="E52" s="23" t="n">
        <x:v>5000</x:v>
      </x:c>
      <x:c r="F52" s="23" t="n">
        <x:v>5000</x:v>
      </x:c>
      <x:c r="G52" s="23" t="n">
        <x:v>5000</x:v>
      </x:c>
      <x:c r="H52" s="23" t="n">
        <x:v>5000</x:v>
      </x:c>
      <x:c r="I52" s="23" t="n">
        <x:v>5000</x:v>
      </x:c>
      <x:c r="J52" s="23" t="n">
        <x:v>5000</x:v>
      </x:c>
      <x:c r="K52" s="23" t="n">
        <x:v>5000</x:v>
      </x:c>
      <x:c r="L52" s="23" t="n">
        <x:v>5000</x:v>
      </x:c>
      <x:c r="M52" s="23" t="n">
        <x:v>5000</x:v>
      </x:c>
      <x:c r="N52" s="23" t="n">
        <x:v>5000</x:v>
      </x:c>
      <x:c r="O52" s="23" t="n">
        <x:v>5000</x:v>
      </x:c>
      <x:c r="P52" s="23" t="n">
        <x:v>5000</x:v>
      </x:c>
      <x:c r="Q52" s="23" t="n">
        <x:v>5000</x:v>
      </x:c>
      <x:c r="R52" s="23" t="n">
        <x:v>5000</x:v>
      </x:c>
      <x:c r="S52" s="23" t="n">
        <x:v>5000</x:v>
      </x:c>
      <x:c r="T52" s="23" t="n">
        <x:v>5000</x:v>
      </x:c>
      <x:c r="U52" s="23" t="n">
        <x:v>5000</x:v>
      </x:c>
      <x:c r="V52" s="23" t="n">
        <x:v>5000</x:v>
      </x:c>
      <x:c r="W52" s="23" t="n">
        <x:v>5000</x:v>
      </x:c>
      <x:c r="X52" s="23" t="n">
        <x:v>5000</x:v>
      </x:c>
      <x:c r="Y52" s="23" t="n">
        <x:v>5000</x:v>
      </x:c>
      <x:c r="Z52" s="23" t="n">
        <x:v>5000</x:v>
      </x:c>
      <x:c r="AA52" s="23" t="n">
        <x:v>5000</x:v>
      </x:c>
    </x:row>
    <x:row r="53" ht="21" customHeight="1">
      <x:c r="A53" s="1"/>
      <x:c r="B53" s="1"/>
      <x:c r="C53" s="1" t="str">
        <x:v>Downside</x:v>
      </x:c>
      <x:c r="D53" s="23" t="n">
        <x:v>5000</x:v>
      </x:c>
      <x:c r="E53" s="23" t="n">
        <x:v>5000</x:v>
      </x:c>
      <x:c r="F53" s="23" t="n">
        <x:v>5000</x:v>
      </x:c>
      <x:c r="G53" s="23" t="n">
        <x:v>5000</x:v>
      </x:c>
      <x:c r="H53" s="23" t="n">
        <x:v>5000</x:v>
      </x:c>
      <x:c r="I53" s="23" t="n">
        <x:v>5000</x:v>
      </x:c>
      <x:c r="J53" s="23" t="n">
        <x:v>5000</x:v>
      </x:c>
      <x:c r="K53" s="23" t="n">
        <x:v>5000</x:v>
      </x:c>
      <x:c r="L53" s="23" t="n">
        <x:v>5000</x:v>
      </x:c>
      <x:c r="M53" s="23" t="n">
        <x:v>5000</x:v>
      </x:c>
      <x:c r="N53" s="23" t="n">
        <x:v>5000</x:v>
      </x:c>
      <x:c r="O53" s="23" t="n">
        <x:v>5000</x:v>
      </x:c>
      <x:c r="P53" s="23" t="n">
        <x:v>5000</x:v>
      </x:c>
      <x:c r="Q53" s="23" t="n">
        <x:v>5000</x:v>
      </x:c>
      <x:c r="R53" s="23" t="n">
        <x:v>5000</x:v>
      </x:c>
      <x:c r="S53" s="23" t="n">
        <x:v>5000</x:v>
      </x:c>
      <x:c r="T53" s="23" t="n">
        <x:v>5000</x:v>
      </x:c>
      <x:c r="U53" s="23" t="n">
        <x:v>5000</x:v>
      </x:c>
      <x:c r="V53" s="23" t="n">
        <x:v>5000</x:v>
      </x:c>
      <x:c r="W53" s="23" t="n">
        <x:v>5000</x:v>
      </x:c>
      <x:c r="X53" s="23" t="n">
        <x:v>5000</x:v>
      </x:c>
      <x:c r="Y53" s="23" t="n">
        <x:v>5000</x:v>
      </x:c>
      <x:c r="Z53" s="23" t="n">
        <x:v>5000</x:v>
      </x:c>
      <x:c r="AA53" s="23" t="n">
        <x:v>5000</x:v>
      </x:c>
    </x:row>
    <x:row r="54" ht="21" customHeight="1">
      <x:c r="A54" s="1"/>
      <x:c r="B54" s="1"/>
      <x:c r="C54" s="1" t="str">
        <x:v>Upside</x:v>
      </x:c>
      <x:c r="D54" s="23" t="n">
        <x:v>6500</x:v>
      </x:c>
      <x:c r="E54" s="23" t="n">
        <x:v>6500</x:v>
      </x:c>
      <x:c r="F54" s="23" t="n">
        <x:v>6500</x:v>
      </x:c>
      <x:c r="G54" s="23" t="n">
        <x:v>6500</x:v>
      </x:c>
      <x:c r="H54" s="23" t="n">
        <x:v>6500</x:v>
      </x:c>
      <x:c r="I54" s="23" t="n">
        <x:v>6500</x:v>
      </x:c>
      <x:c r="J54" s="23" t="n">
        <x:v>6500</x:v>
      </x:c>
      <x:c r="K54" s="23" t="n">
        <x:v>6500</x:v>
      </x:c>
      <x:c r="L54" s="23" t="n">
        <x:v>6500</x:v>
      </x:c>
      <x:c r="M54" s="23" t="n">
        <x:v>6500</x:v>
      </x:c>
      <x:c r="N54" s="23" t="n">
        <x:v>6500</x:v>
      </x:c>
      <x:c r="O54" s="23" t="n">
        <x:v>6500</x:v>
      </x:c>
      <x:c r="P54" s="23" t="n">
        <x:v>6500</x:v>
      </x:c>
      <x:c r="Q54" s="23" t="n">
        <x:v>6500</x:v>
      </x:c>
      <x:c r="R54" s="23" t="n">
        <x:v>6500</x:v>
      </x:c>
      <x:c r="S54" s="23" t="n">
        <x:v>6500</x:v>
      </x:c>
      <x:c r="T54" s="23" t="n">
        <x:v>6500</x:v>
      </x:c>
      <x:c r="U54" s="23" t="n">
        <x:v>6500</x:v>
      </x:c>
      <x:c r="V54" s="23" t="n">
        <x:v>6500</x:v>
      </x:c>
      <x:c r="W54" s="23" t="n">
        <x:v>6500</x:v>
      </x:c>
      <x:c r="X54" s="23" t="n">
        <x:v>6500</x:v>
      </x:c>
      <x:c r="Y54" s="23" t="n">
        <x:v>6500</x:v>
      </x:c>
      <x:c r="Z54" s="23" t="n">
        <x:v>6500</x:v>
      </x:c>
      <x:c r="AA54" s="23" t="n">
        <x:v>6500</x:v>
      </x:c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21" customHeight="1">
      <x:c r="A57" s="1"/>
      <x:c r="B57" s="1"/>
      <x:c r="C57" s="1" t="str">
        <x:v>Definition reference: Stripe, Essential SaaS Metrics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21" customHeight="1">
      <x:c r="A58" s="1"/>
      <x:c r="B58" s="1"/>
      <x:c r="C58" s="1" t="str">
        <x:v>https://stripe.com/resources/more/essential-saas-metrics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21" customHeight="1">
      <x:c r="A60" s="1"/>
      <x:c r="B60" s="1"/>
      <x:c r="C60" s="1" t="str">
        <x:v>Forecast dates are assumed; there are no historical actuals in this file.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</x:sheetData>
  <x:dataValidations count="11">
    <x:dataValidation type="whole" operator="between" sqref="D5">
      <x:formula1>1</x:formula1>
      <x:formula2>3</x:formula2>
    </x:dataValidation>
    <x:dataValidation type="decimal" operator="between" sqref="D16:AA18">
      <x:formula1>0</x:formula1>
      <x:formula2>10000000</x:formula2>
    </x:dataValidation>
    <x:dataValidation type="decimal" operator="between" sqref="D20:AA22">
      <x:formula1>1</x:formula1>
      <x:formula2>10000000</x:formula2>
    </x:dataValidation>
    <x:dataValidation type="decimal" operator="between" sqref="D24:AA26">
      <x:formula1>0</x:formula1>
      <x:formula2>10000000</x:formula2>
    </x:dataValidation>
    <x:dataValidation type="decimal" operator="between" sqref="D28:AA30">
      <x:formula1>0</x:formula1>
      <x:formula2>1</x:formula2>
    </x:dataValidation>
    <x:dataValidation type="decimal" operator="between" sqref="D32:AA34">
      <x:formula1>0</x:formula1>
      <x:formula2>1</x:formula2>
    </x:dataValidation>
    <x:dataValidation type="decimal" operator="between" sqref="D36:AA38">
      <x:formula1>0</x:formula1>
      <x:formula2>1</x:formula2>
    </x:dataValidation>
    <x:dataValidation type="decimal" operator="between" sqref="D40:AA42">
      <x:formula1>0</x:formula1>
      <x:formula2>1</x:formula2>
    </x:dataValidation>
    <x:dataValidation type="decimal" operator="between" sqref="D44:AA46">
      <x:formula1>0</x:formula1>
      <x:formula2>10000000</x:formula2>
    </x:dataValidation>
    <x:dataValidation type="decimal" operator="between" sqref="D48:AA50">
      <x:formula1>0</x:formula1>
      <x:formula2>10000000</x:formula2>
    </x:dataValidation>
    <x:dataValidation type="decimal" operator="between" sqref="D52:AA54">
      <x:formula1>0</x:formula1>
      <x:formula2>10000000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2" t="str">
        <x:v>Revenue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3" t="str">
        <x:v>SIMULATED BUSINESS | 2027–2028 FORECAST | USD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 t="str">
        <x:v>Case selected:</x:v>
      </x:c>
      <x:c r="D5" s="5" t="str">
        <x:f>'Assumptions'!F5</x:f>
        <x:v>Base</x:v>
      </x:c>
      <x:c r="E5" s="6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0"/>
      <x:c r="D7" s="11" t="d">
        <x:v>2027-01-01T00:00:00.000Z</x:v>
      </x:c>
      <x:c r="E7" s="11" t="d">
        <x:v>2027-02-01T00:00:00.000Z</x:v>
      </x:c>
      <x:c r="F7" s="11" t="d">
        <x:v>2027-03-01T00:00:00.000Z</x:v>
      </x:c>
      <x:c r="G7" s="11" t="d">
        <x:v>2027-04-01T00:00:00.000Z</x:v>
      </x:c>
      <x:c r="H7" s="11" t="d">
        <x:v>2027-05-01T00:00:00.000Z</x:v>
      </x:c>
      <x:c r="I7" s="11" t="d">
        <x:v>2027-06-01T00:00:00.000Z</x:v>
      </x:c>
      <x:c r="J7" s="11" t="d">
        <x:v>2027-07-01T00:00:00.000Z</x:v>
      </x:c>
      <x:c r="K7" s="11" t="d">
        <x:v>2027-08-01T00:00:00.000Z</x:v>
      </x:c>
      <x:c r="L7" s="11" t="d">
        <x:v>2027-09-01T00:00:00.000Z</x:v>
      </x:c>
      <x:c r="M7" s="11" t="d">
        <x:v>2027-10-01T00:00:00.000Z</x:v>
      </x:c>
      <x:c r="N7" s="11" t="d">
        <x:v>2027-11-01T00:00:00.000Z</x:v>
      </x:c>
      <x:c r="O7" s="11" t="d">
        <x:v>2027-12-01T00:00:00.000Z</x:v>
      </x:c>
      <x:c r="P7" s="11" t="d">
        <x:v>2028-01-01T00:00:00.000Z</x:v>
      </x:c>
      <x:c r="Q7" s="11" t="d">
        <x:v>2028-02-01T00:00:00.000Z</x:v>
      </x:c>
      <x:c r="R7" s="11" t="d">
        <x:v>2028-03-01T00:00:00.000Z</x:v>
      </x:c>
      <x:c r="S7" s="11" t="d">
        <x:v>2028-04-01T00:00:00.000Z</x:v>
      </x:c>
      <x:c r="T7" s="11" t="d">
        <x:v>2028-05-01T00:00:00.000Z</x:v>
      </x:c>
      <x:c r="U7" s="11" t="d">
        <x:v>2028-06-01T00:00:00.000Z</x:v>
      </x:c>
      <x:c r="V7" s="11" t="d">
        <x:v>2028-07-01T00:00:00.000Z</x:v>
      </x:c>
      <x:c r="W7" s="11" t="d">
        <x:v>2028-08-01T00:00:00.000Z</x:v>
      </x:c>
      <x:c r="X7" s="11" t="d">
        <x:v>2028-09-01T00:00:00.000Z</x:v>
      </x:c>
      <x:c r="Y7" s="11" t="d">
        <x:v>2028-10-01T00:00:00.000Z</x:v>
      </x:c>
      <x:c r="Z7" s="11" t="d">
        <x:v>2028-11-01T00:00:00.000Z</x:v>
      </x:c>
      <x:c r="AA7" s="11" t="d">
        <x:v>2028-12-01T00:00:00.000Z</x:v>
      </x:c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21" customHeight="1">
      <x:c r="A9" s="1"/>
      <x:c r="B9" s="1"/>
      <x:c r="C9" s="1" t="str">
        <x:v>Beginning customers</x:v>
      </x:c>
      <x:c r="D9" s="37" t="n">
        <x:f>'Assumptions'!$D$9</x:f>
        <x:v>400</x:v>
      </x:c>
      <x:c r="E9" s="41" t="n">
        <x:f>D15</x:f>
        <x:v>419</x:v>
      </x:c>
      <x:c r="F9" s="41" t="n">
        <x:f>E15</x:f>
        <x:v>437.715</x:v>
      </x:c>
      <x:c r="G9" s="41" t="n">
        <x:f>F15</x:f>
        <x:v>457.149275</x:v>
      </x:c>
      <x:c r="H9" s="41" t="n">
        <x:f>G15</x:f>
        <x:v>477.292035875</x:v>
      </x:c>
      <x:c r="I9" s="41" t="n">
        <x:f>H15</x:f>
        <x:v>498.132655336875</x:v>
      </x:c>
      <x:c r="J9" s="41" t="n">
        <x:f>I15</x:f>
        <x:v>518.6606655068219</x:v>
      </x:c>
      <x:c r="K9" s="41" t="n">
        <x:f>J15</x:f>
        <x:v>539.8807555242196</x:v>
      </x:c>
      <x:c r="L9" s="41" t="n">
        <x:f>K15</x:f>
        <x:v>561.7825441913562</x:v>
      </x:c>
      <x:c r="M9" s="41" t="n">
        <x:f>L15</x:f>
        <x:v>584.3558060284859</x:v>
      </x:c>
      <x:c r="N9" s="41" t="n">
        <x:f>M15</x:f>
        <x:v>607.5904689380586</x:v>
      </x:c>
      <x:c r="O9" s="41" t="n">
        <x:f>N15</x:f>
        <x:v>631.4766119039878</x:v>
      </x:c>
      <x:c r="P9" s="41" t="n">
        <x:f>O15</x:f>
        <x:v>656.004462725428</x:v>
      </x:c>
      <x:c r="Q9" s="41" t="n">
        <x:f>P15</x:f>
        <x:v>681.1643957845465</x:v>
      </x:c>
      <x:c r="R9" s="41" t="n">
        <x:f>Q15</x:f>
        <x:v>706.9469298477783</x:v>
      </x:c>
      <x:c r="S9" s="41" t="n">
        <x:f>R15</x:f>
        <x:v>733.3427259000616</x:v>
      </x:c>
      <x:c r="T9" s="41" t="n">
        <x:f>S15</x:f>
        <x:v>760.3425850115607</x:v>
      </x:c>
      <x:c r="U9" s="41" t="n">
        <x:f>T15</x:f>
        <x:v>788.9374462363872</x:v>
      </x:c>
      <x:c r="V9" s="41" t="n">
        <x:f>U15</x:f>
        <x:v>818.1033845428415</x:v>
      </x:c>
      <x:c r="W9" s="41" t="n">
        <x:f>V15</x:f>
        <x:v>847.8318337746988</x:v>
      </x:c>
      <x:c r="X9" s="41" t="n">
        <x:f>W15</x:f>
        <x:v>878.1143562680783</x:v>
      </x:c>
      <x:c r="Y9" s="41" t="n">
        <x:f>X15</x:f>
        <x:v>909.9426409240571</x:v>
      </x:c>
      <x:c r="Z9" s="41" t="n">
        <x:f>Y15</x:f>
        <x:v>942.2935013101962</x:v>
      </x:c>
      <x:c r="AA9" s="41" t="n">
        <x:f>Z15</x:f>
        <x:v>975.1590987905433</x:v>
      </x:c>
    </x:row>
    <x:row r="10" ht="21" customHeight="1">
      <x:c r="A10" s="1"/>
      <x:c r="B10" s="1"/>
      <x:c r="C10" s="1" t="str">
        <x:v>Acquisition S&amp;M spend</x:v>
      </x:c>
      <x:c r="D10" s="38" t="n">
        <x:f>'Assumptions'!D15</x:f>
        <x:v>45000</x:v>
      </x:c>
      <x:c r="E10" s="38" t="n">
        <x:f>'Assumptions'!E15</x:f>
        <x:v>46350</x:v>
      </x:c>
      <x:c r="F10" s="38" t="n">
        <x:f>'Assumptions'!F15</x:f>
        <x:v>47740.5</x:v>
      </x:c>
      <x:c r="G10" s="38" t="n">
        <x:f>'Assumptions'!G15</x:f>
        <x:v>49172.715000000004</x:v>
      </x:c>
      <x:c r="H10" s="38" t="n">
        <x:f>'Assumptions'!H15</x:f>
        <x:v>50647.89645000001</x:v>
      </x:c>
      <x:c r="I10" s="38" t="n">
        <x:f>'Assumptions'!I15</x:f>
        <x:v>52167.3333435</x:v>
      </x:c>
      <x:c r="J10" s="38" t="n">
        <x:f>'Assumptions'!J15</x:f>
        <x:v>53732.35334380501</x:v>
      </x:c>
      <x:c r="K10" s="38" t="n">
        <x:f>'Assumptions'!K15</x:f>
        <x:v>55344.32394411916</x:v>
      </x:c>
      <x:c r="L10" s="38" t="n">
        <x:f>'Assumptions'!L15</x:f>
        <x:v>57004.65366244274</x:v>
      </x:c>
      <x:c r="M10" s="38" t="n">
        <x:f>'Assumptions'!M15</x:f>
        <x:v>58714.79327231602</x:v>
      </x:c>
      <x:c r="N10" s="38" t="n">
        <x:f>'Assumptions'!N15</x:f>
        <x:v>60476.2370704855</x:v>
      </x:c>
      <x:c r="O10" s="38" t="n">
        <x:f>'Assumptions'!O15</x:f>
        <x:v>62290.524182600064</x:v>
      </x:c>
      <x:c r="P10" s="38" t="n">
        <x:f>'Assumptions'!P15</x:f>
        <x:v>64159.23990807807</x:v>
      </x:c>
      <x:c r="Q10" s="38" t="n">
        <x:f>'Assumptions'!Q15</x:f>
        <x:v>66084.01710532041</x:v>
      </x:c>
      <x:c r="R10" s="38" t="n">
        <x:f>'Assumptions'!R15</x:f>
        <x:v>68066.53761848004</x:v>
      </x:c>
      <x:c r="S10" s="38" t="n">
        <x:f>'Assumptions'!S15</x:f>
        <x:v>70108.53374703442</x:v>
      </x:c>
      <x:c r="T10" s="38" t="n">
        <x:f>'Assumptions'!T15</x:f>
        <x:v>72211.78975944547</x:v>
      </x:c>
      <x:c r="U10" s="38" t="n">
        <x:f>'Assumptions'!U15</x:f>
        <x:v>74378.14345222883</x:v>
      </x:c>
      <x:c r="V10" s="38" t="n">
        <x:f>'Assumptions'!V15</x:f>
        <x:v>76609.48775579571</x:v>
      </x:c>
      <x:c r="W10" s="38" t="n">
        <x:f>'Assumptions'!W15</x:f>
        <x:v>78907.77238846957</x:v>
      </x:c>
      <x:c r="X10" s="38" t="n">
        <x:f>'Assumptions'!X15</x:f>
        <x:v>81275.00556012367</x:v>
      </x:c>
      <x:c r="Y10" s="38" t="n">
        <x:f>'Assumptions'!Y15</x:f>
        <x:v>83713.25572692737</x:v>
      </x:c>
      <x:c r="Z10" s="38" t="n">
        <x:f>'Assumptions'!Z15</x:f>
        <x:v>86224.6533987352</x:v>
      </x:c>
      <x:c r="AA10" s="38" t="n">
        <x:f>'Assumptions'!AA15</x:f>
        <x:v>88811.39300069727</x:v>
      </x:c>
    </x:row>
    <x:row r="11" ht="21" customHeight="1">
      <x:c r="A11" s="1"/>
      <x:c r="B11" s="1"/>
      <x:c r="C11" s="1" t="str">
        <x:v>Target CAC</x:v>
      </x:c>
      <x:c r="D11" s="38" t="n">
        <x:f>'Assumptions'!D19</x:f>
        <x:v>1800</x:v>
      </x:c>
      <x:c r="E11" s="38" t="n">
        <x:f>'Assumptions'!E19</x:f>
        <x:v>1800</x:v>
      </x:c>
      <x:c r="F11" s="38" t="n">
        <x:f>'Assumptions'!F19</x:f>
        <x:v>1800</x:v>
      </x:c>
      <x:c r="G11" s="38" t="n">
        <x:f>'Assumptions'!G19</x:f>
        <x:v>1800</x:v>
      </x:c>
      <x:c r="H11" s="38" t="n">
        <x:f>'Assumptions'!H19</x:f>
        <x:v>1800</x:v>
      </x:c>
      <x:c r="I11" s="38" t="n">
        <x:f>'Assumptions'!I19</x:f>
        <x:v>1800</x:v>
      </x:c>
      <x:c r="J11" s="38" t="n">
        <x:f>'Assumptions'!J19</x:f>
        <x:v>1800</x:v>
      </x:c>
      <x:c r="K11" s="38" t="n">
        <x:f>'Assumptions'!K19</x:f>
        <x:v>1800</x:v>
      </x:c>
      <x:c r="L11" s="38" t="n">
        <x:f>'Assumptions'!L19</x:f>
        <x:v>1800</x:v>
      </x:c>
      <x:c r="M11" s="38" t="n">
        <x:f>'Assumptions'!M19</x:f>
        <x:v>1800</x:v>
      </x:c>
      <x:c r="N11" s="38" t="n">
        <x:f>'Assumptions'!N19</x:f>
        <x:v>1800</x:v>
      </x:c>
      <x:c r="O11" s="38" t="n">
        <x:f>'Assumptions'!O19</x:f>
        <x:v>1800</x:v>
      </x:c>
      <x:c r="P11" s="38" t="n">
        <x:f>'Assumptions'!P19</x:f>
        <x:v>1800</x:v>
      </x:c>
      <x:c r="Q11" s="38" t="n">
        <x:f>'Assumptions'!Q19</x:f>
        <x:v>1800</x:v>
      </x:c>
      <x:c r="R11" s="38" t="n">
        <x:f>'Assumptions'!R19</x:f>
        <x:v>1800</x:v>
      </x:c>
      <x:c r="S11" s="38" t="n">
        <x:f>'Assumptions'!S19</x:f>
        <x:v>1800</x:v>
      </x:c>
      <x:c r="T11" s="38" t="n">
        <x:f>'Assumptions'!T19</x:f>
        <x:v>1800</x:v>
      </x:c>
      <x:c r="U11" s="38" t="n">
        <x:f>'Assumptions'!U19</x:f>
        <x:v>1800</x:v>
      </x:c>
      <x:c r="V11" s="38" t="n">
        <x:f>'Assumptions'!V19</x:f>
        <x:v>1800</x:v>
      </x:c>
      <x:c r="W11" s="38" t="n">
        <x:f>'Assumptions'!W19</x:f>
        <x:v>1800</x:v>
      </x:c>
      <x:c r="X11" s="38" t="n">
        <x:f>'Assumptions'!X19</x:f>
        <x:v>1800</x:v>
      </x:c>
      <x:c r="Y11" s="38" t="n">
        <x:f>'Assumptions'!Y19</x:f>
        <x:v>1800</x:v>
      </x:c>
      <x:c r="Z11" s="38" t="n">
        <x:f>'Assumptions'!Z19</x:f>
        <x:v>1800</x:v>
      </x:c>
      <x:c r="AA11" s="38" t="n">
        <x:f>'Assumptions'!AA19</x:f>
        <x:v>1800</x:v>
      </x:c>
    </x:row>
    <x:row r="12" ht="21" customHeight="1">
      <x:c r="A12" s="1"/>
      <x:c r="B12" s="1"/>
      <x:c r="C12" s="1" t="str">
        <x:v>New customers</x:v>
      </x:c>
      <x:c r="D12" s="39" t="n">
        <x:f>IF(D11&lt;=0,NA(),ROUNDDOWN(D10/D11,0))</x:f>
        <x:v>25</x:v>
      </x:c>
      <x:c r="E12" s="39" t="n">
        <x:f>IF(E11&lt;=0,NA(),ROUNDDOWN(E10/E11,0))</x:f>
        <x:v>25</x:v>
      </x:c>
      <x:c r="F12" s="39" t="n">
        <x:f>IF(F11&lt;=0,NA(),ROUNDDOWN(F10/F11,0))</x:f>
        <x:v>26</x:v>
      </x:c>
      <x:c r="G12" s="39" t="n">
        <x:f>IF(G11&lt;=0,NA(),ROUNDDOWN(G10/G11,0))</x:f>
        <x:v>27</x:v>
      </x:c>
      <x:c r="H12" s="39" t="n">
        <x:f>IF(H11&lt;=0,NA(),ROUNDDOWN(H10/H11,0))</x:f>
        <x:v>28</x:v>
      </x:c>
      <x:c r="I12" s="39" t="n">
        <x:f>IF(I11&lt;=0,NA(),ROUNDDOWN(I10/I11,0))</x:f>
        <x:v>28</x:v>
      </x:c>
      <x:c r="J12" s="39" t="n">
        <x:f>IF(J11&lt;=0,NA(),ROUNDDOWN(J10/J11,0))</x:f>
        <x:v>29</x:v>
      </x:c>
      <x:c r="K12" s="39" t="n">
        <x:f>IF(K11&lt;=0,NA(),ROUNDDOWN(K10/K11,0))</x:f>
        <x:v>30</x:v>
      </x:c>
      <x:c r="L12" s="39" t="n">
        <x:f>IF(L11&lt;=0,NA(),ROUNDDOWN(L10/L11,0))</x:f>
        <x:v>31</x:v>
      </x:c>
      <x:c r="M12" s="39" t="n">
        <x:f>IF(M11&lt;=0,NA(),ROUNDDOWN(M10/M11,0))</x:f>
        <x:v>32</x:v>
      </x:c>
      <x:c r="N12" s="39" t="n">
        <x:f>IF(N11&lt;=0,NA(),ROUNDDOWN(N10/N11,0))</x:f>
        <x:v>33</x:v>
      </x:c>
      <x:c r="O12" s="39" t="n">
        <x:f>IF(O11&lt;=0,NA(),ROUNDDOWN(O10/O11,0))</x:f>
        <x:v>34</x:v>
      </x:c>
      <x:c r="P12" s="39" t="n">
        <x:f>IF(P11&lt;=0,NA(),ROUNDDOWN(P10/P11,0))</x:f>
        <x:v>35</x:v>
      </x:c>
      <x:c r="Q12" s="39" t="n">
        <x:f>IF(Q11&lt;=0,NA(),ROUNDDOWN(Q10/Q11,0))</x:f>
        <x:v>36</x:v>
      </x:c>
      <x:c r="R12" s="39" t="n">
        <x:f>IF(R11&lt;=0,NA(),ROUNDDOWN(R10/R11,0))</x:f>
        <x:v>37</x:v>
      </x:c>
      <x:c r="S12" s="39" t="n">
        <x:f>IF(S11&lt;=0,NA(),ROUNDDOWN(S10/S11,0))</x:f>
        <x:v>38</x:v>
      </x:c>
      <x:c r="T12" s="39" t="n">
        <x:f>IF(T11&lt;=0,NA(),ROUNDDOWN(T10/T11,0))</x:f>
        <x:v>40</x:v>
      </x:c>
      <x:c r="U12" s="39" t="n">
        <x:f>IF(U11&lt;=0,NA(),ROUNDDOWN(U10/U11,0))</x:f>
        <x:v>41</x:v>
      </x:c>
      <x:c r="V12" s="39" t="n">
        <x:f>IF(V11&lt;=0,NA(),ROUNDDOWN(V10/V11,0))</x:f>
        <x:v>42</x:v>
      </x:c>
      <x:c r="W12" s="39" t="n">
        <x:f>IF(W11&lt;=0,NA(),ROUNDDOWN(W10/W11,0))</x:f>
        <x:v>43</x:v>
      </x:c>
      <x:c r="X12" s="39" t="n">
        <x:f>IF(X11&lt;=0,NA(),ROUNDDOWN(X10/X11,0))</x:f>
        <x:v>45</x:v>
      </x:c>
      <x:c r="Y12" s="39" t="n">
        <x:f>IF(Y11&lt;=0,NA(),ROUNDDOWN(Y10/Y11,0))</x:f>
        <x:v>46</x:v>
      </x:c>
      <x:c r="Z12" s="39" t="n">
        <x:f>IF(Z11&lt;=0,NA(),ROUNDDOWN(Z10/Z11,0))</x:f>
        <x:v>47</x:v>
      </x:c>
      <x:c r="AA12" s="39" t="n">
        <x:f>IF(AA11&lt;=0,NA(),ROUNDDOWN(AA10/AA11,0))</x:f>
        <x:v>49</x:v>
      </x:c>
    </x:row>
    <x:row r="13" ht="21" customHeight="1">
      <x:c r="A13" s="1"/>
      <x:c r="B13" s="1"/>
      <x:c r="C13" s="56" t="str">
        <x:v>Monthly logo churn</x:v>
      </x:c>
      <x:c r="D13" s="57" t="n">
        <x:f>'Assumptions'!D27</x:f>
        <x:v>0.015</x:v>
      </x:c>
      <x:c r="E13" s="57" t="n">
        <x:f>'Assumptions'!E27</x:f>
        <x:v>0.015</x:v>
      </x:c>
      <x:c r="F13" s="57" t="n">
        <x:f>'Assumptions'!F27</x:f>
        <x:v>0.015</x:v>
      </x:c>
      <x:c r="G13" s="57" t="n">
        <x:f>'Assumptions'!G27</x:f>
        <x:v>0.015</x:v>
      </x:c>
      <x:c r="H13" s="57" t="n">
        <x:f>'Assumptions'!H27</x:f>
        <x:v>0.015</x:v>
      </x:c>
      <x:c r="I13" s="57" t="n">
        <x:f>'Assumptions'!I27</x:f>
        <x:v>0.015</x:v>
      </x:c>
      <x:c r="J13" s="57" t="n">
        <x:f>'Assumptions'!J27</x:f>
        <x:v>0.015</x:v>
      </x:c>
      <x:c r="K13" s="57" t="n">
        <x:f>'Assumptions'!K27</x:f>
        <x:v>0.015</x:v>
      </x:c>
      <x:c r="L13" s="57" t="n">
        <x:f>'Assumptions'!L27</x:f>
        <x:v>0.015</x:v>
      </x:c>
      <x:c r="M13" s="57" t="n">
        <x:f>'Assumptions'!M27</x:f>
        <x:v>0.015</x:v>
      </x:c>
      <x:c r="N13" s="57" t="n">
        <x:f>'Assumptions'!N27</x:f>
        <x:v>0.015</x:v>
      </x:c>
      <x:c r="O13" s="57" t="n">
        <x:f>'Assumptions'!O27</x:f>
        <x:v>0.015</x:v>
      </x:c>
      <x:c r="P13" s="57" t="n">
        <x:f>'Assumptions'!P27</x:f>
        <x:v>0.015</x:v>
      </x:c>
      <x:c r="Q13" s="57" t="n">
        <x:f>'Assumptions'!Q27</x:f>
        <x:v>0.015</x:v>
      </x:c>
      <x:c r="R13" s="57" t="n">
        <x:f>'Assumptions'!R27</x:f>
        <x:v>0.015</x:v>
      </x:c>
      <x:c r="S13" s="57" t="n">
        <x:f>'Assumptions'!S27</x:f>
        <x:v>0.015</x:v>
      </x:c>
      <x:c r="T13" s="57" t="n">
        <x:f>'Assumptions'!T27</x:f>
        <x:v>0.015</x:v>
      </x:c>
      <x:c r="U13" s="57" t="n">
        <x:f>'Assumptions'!U27</x:f>
        <x:v>0.015</x:v>
      </x:c>
      <x:c r="V13" s="57" t="n">
        <x:f>'Assumptions'!V27</x:f>
        <x:v>0.015</x:v>
      </x:c>
      <x:c r="W13" s="57" t="n">
        <x:f>'Assumptions'!W27</x:f>
        <x:v>0.015</x:v>
      </x:c>
      <x:c r="X13" s="57" t="n">
        <x:f>'Assumptions'!X27</x:f>
        <x:v>0.015</x:v>
      </x:c>
      <x:c r="Y13" s="57" t="n">
        <x:f>'Assumptions'!Y27</x:f>
        <x:v>0.015</x:v>
      </x:c>
      <x:c r="Z13" s="57" t="n">
        <x:f>'Assumptions'!Z27</x:f>
        <x:v>0.015</x:v>
      </x:c>
      <x:c r="AA13" s="57" t="n">
        <x:f>'Assumptions'!AA27</x:f>
        <x:v>0.015</x:v>
      </x:c>
    </x:row>
    <x:row r="14" ht="21" customHeight="1">
      <x:c r="A14" s="1"/>
      <x:c r="B14" s="1"/>
      <x:c r="C14" s="1" t="str">
        <x:v>Churned customers</x:v>
      </x:c>
      <x:c r="D14" s="41" t="n">
        <x:f>D9*D13</x:f>
        <x:v>6</x:v>
      </x:c>
      <x:c r="E14" s="41" t="n">
        <x:f>E9*E13</x:f>
        <x:v>6.285</x:v>
      </x:c>
      <x:c r="F14" s="41" t="n">
        <x:f>F9*F13</x:f>
        <x:v>6.565725</x:v>
      </x:c>
      <x:c r="G14" s="41" t="n">
        <x:f>G9*G13</x:f>
        <x:v>6.8572391249999995</x:v>
      </x:c>
      <x:c r="H14" s="41" t="n">
        <x:f>H9*H13</x:f>
        <x:v>7.159380538125</x:v>
      </x:c>
      <x:c r="I14" s="41" t="n">
        <x:f>I9*I13</x:f>
        <x:v>7.471989830053125</x:v>
      </x:c>
      <x:c r="J14" s="41" t="n">
        <x:f>J9*J13</x:f>
        <x:v>7.779909982602329</x:v>
      </x:c>
      <x:c r="K14" s="41" t="n">
        <x:f>K9*K13</x:f>
        <x:v>8.098211332863293</x:v>
      </x:c>
      <x:c r="L14" s="41" t="n">
        <x:f>L9*L13</x:f>
        <x:v>8.426738162870343</x:v>
      </x:c>
      <x:c r="M14" s="41" t="n">
        <x:f>M9*M13</x:f>
        <x:v>8.765337090427288</x:v>
      </x:c>
      <x:c r="N14" s="41" t="n">
        <x:f>N9*N13</x:f>
        <x:v>9.113857034070879</x:v>
      </x:c>
      <x:c r="O14" s="41" t="n">
        <x:f>O9*O13</x:f>
        <x:v>9.472149178559816</x:v>
      </x:c>
      <x:c r="P14" s="41" t="n">
        <x:f>P9*P13</x:f>
        <x:v>9.84006694088142</x:v>
      </x:c>
      <x:c r="Q14" s="41" t="n">
        <x:f>Q9*Q13</x:f>
        <x:v>10.217465936768198</x:v>
      </x:c>
      <x:c r="R14" s="41" t="n">
        <x:f>R9*R13</x:f>
        <x:v>10.604203947716673</x:v>
      </x:c>
      <x:c r="S14" s="41" t="n">
        <x:f>S9*S13</x:f>
        <x:v>11.000140888500924</x:v>
      </x:c>
      <x:c r="T14" s="41" t="n">
        <x:f>T9*T13</x:f>
        <x:v>11.405138775173409</x:v>
      </x:c>
      <x:c r="U14" s="41" t="n">
        <x:f>U9*U13</x:f>
        <x:v>11.834061693545808</x:v>
      </x:c>
      <x:c r="V14" s="41" t="n">
        <x:f>V9*V13</x:f>
        <x:v>12.271550768142621</x:v>
      </x:c>
      <x:c r="W14" s="41" t="n">
        <x:f>W9*W13</x:f>
        <x:v>12.717477506620481</x:v>
      </x:c>
      <x:c r="X14" s="41" t="n">
        <x:f>X9*X13</x:f>
        <x:v>13.171715344021173</x:v>
      </x:c>
      <x:c r="Y14" s="41" t="n">
        <x:f>Y9*Y13</x:f>
        <x:v>13.649139613860855</x:v>
      </x:c>
      <x:c r="Z14" s="41" t="n">
        <x:f>Z9*Z13</x:f>
        <x:v>14.134402519652943</x:v>
      </x:c>
      <x:c r="AA14" s="41" t="n">
        <x:f>AA9*AA13</x:f>
        <x:v>14.62738648185815</x:v>
      </x:c>
    </x:row>
    <x:row r="15" ht="21" customHeight="1">
      <x:c r="A15" s="1"/>
      <x:c r="B15" s="1"/>
      <x:c r="C15" s="19" t="str">
        <x:v>Ending customers</x:v>
      </x:c>
      <x:c r="D15" s="46" t="n">
        <x:f>D9+D12-D14</x:f>
        <x:v>419</x:v>
      </x:c>
      <x:c r="E15" s="46" t="n">
        <x:f>E9+E12-E14</x:f>
        <x:v>437.715</x:v>
      </x:c>
      <x:c r="F15" s="46" t="n">
        <x:f>F9+F12-F14</x:f>
        <x:v>457.149275</x:v>
      </x:c>
      <x:c r="G15" s="46" t="n">
        <x:f>G9+G12-G14</x:f>
        <x:v>477.292035875</x:v>
      </x:c>
      <x:c r="H15" s="46" t="n">
        <x:f>H9+H12-H14</x:f>
        <x:v>498.132655336875</x:v>
      </x:c>
      <x:c r="I15" s="46" t="n">
        <x:f>I9+I12-I14</x:f>
        <x:v>518.6606655068219</x:v>
      </x:c>
      <x:c r="J15" s="46" t="n">
        <x:f>J9+J12-J14</x:f>
        <x:v>539.8807555242196</x:v>
      </x:c>
      <x:c r="K15" s="46" t="n">
        <x:f>K9+K12-K14</x:f>
        <x:v>561.7825441913562</x:v>
      </x:c>
      <x:c r="L15" s="46" t="n">
        <x:f>L9+L12-L14</x:f>
        <x:v>584.3558060284859</x:v>
      </x:c>
      <x:c r="M15" s="46" t="n">
        <x:f>M9+M12-M14</x:f>
        <x:v>607.5904689380586</x:v>
      </x:c>
      <x:c r="N15" s="46" t="n">
        <x:f>N9+N12-N14</x:f>
        <x:v>631.4766119039878</x:v>
      </x:c>
      <x:c r="O15" s="46" t="n">
        <x:f>O9+O12-O14</x:f>
        <x:v>656.004462725428</x:v>
      </x:c>
      <x:c r="P15" s="46" t="n">
        <x:f>P9+P12-P14</x:f>
        <x:v>681.1643957845465</x:v>
      </x:c>
      <x:c r="Q15" s="46" t="n">
        <x:f>Q9+Q12-Q14</x:f>
        <x:v>706.9469298477783</x:v>
      </x:c>
      <x:c r="R15" s="46" t="n">
        <x:f>R9+R12-R14</x:f>
        <x:v>733.3427259000616</x:v>
      </x:c>
      <x:c r="S15" s="46" t="n">
        <x:f>S9+S12-S14</x:f>
        <x:v>760.3425850115607</x:v>
      </x:c>
      <x:c r="T15" s="46" t="n">
        <x:f>T9+T12-T14</x:f>
        <x:v>788.9374462363872</x:v>
      </x:c>
      <x:c r="U15" s="46" t="n">
        <x:f>U9+U12-U14</x:f>
        <x:v>818.1033845428415</x:v>
      </x:c>
      <x:c r="V15" s="46" t="n">
        <x:f>V9+V12-V14</x:f>
        <x:v>847.8318337746988</x:v>
      </x:c>
      <x:c r="W15" s="46" t="n">
        <x:f>W9+W12-W14</x:f>
        <x:v>878.1143562680783</x:v>
      </x:c>
      <x:c r="X15" s="46" t="n">
        <x:f>X9+X12-X14</x:f>
        <x:v>909.9426409240571</x:v>
      </x:c>
      <x:c r="Y15" s="46" t="n">
        <x:f>Y9+Y12-Y14</x:f>
        <x:v>942.2935013101962</x:v>
      </x:c>
      <x:c r="Z15" s="46" t="n">
        <x:f>Z9+Z12-Z14</x:f>
        <x:v>975.1590987905433</x:v>
      </x:c>
      <x:c r="AA15" s="46" t="n">
        <x:f>AA9+AA12-AA14</x:f>
        <x:v>1009.5317123086852</x:v>
      </x:c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</x:row>
    <x:row r="17" ht="21" customHeight="1">
      <x:c r="A17" s="1"/>
      <x:c r="B17" s="1"/>
      <x:c r="C17" s="1" t="str">
        <x:v>Beginning MRR</x:v>
      </x:c>
      <x:c r="D17" s="38" t="n">
        <x:f>'Assumptions'!$D$10</x:f>
        <x:v>100000</x:v>
      </x:c>
      <x:c r="E17" s="42" t="n">
        <x:f>D23</x:f>
        <x:v>106227.5</x:v>
      </x:c>
      <x:c r="F17" s="42" t="n">
        <x:f>E23</x:f>
        <x:v>112466.09881249999</x:v>
      </x:c>
      <x:c r="G17" s="42" t="n">
        <x:f>F23</x:f>
        <x:v>118966.81994026717</x:v>
      </x:c>
      <x:c r="H17" s="42" t="n">
        <x:f>G23</x:f>
        <x:v>125730.63345978063</x:v>
      </x:c>
      <x:c r="I17" s="42" t="n">
        <x:f>H23</x:f>
        <x:v>132758.5122913642</x:v>
      </x:c>
      <x:c r="J17" s="42" t="n">
        <x:f>I23</x:f>
        <x:v>139798.92218665886</x:v>
      </x:c>
      <x:c r="K17" s="42" t="n">
        <x:f>J23</x:f>
        <x:v>147104.90359090824</x:v>
      </x:c>
      <x:c r="L17" s="42" t="n">
        <x:f>K23</x:f>
        <x:v>154677.43709180533</x:v>
      </x:c>
      <x:c r="M17" s="42" t="n">
        <x:f>L23</x:f>
        <x:v>162517.50614915357</x:v>
      </x:c>
      <x:c r="N17" s="42" t="n">
        <x:f>M23</x:f>
        <x:v>170626.0971024303</x:v>
      </x:c>
      <x:c r="O17" s="42" t="n">
        <x:f>N23</x:f>
        <x:v>179004.19917836887</x:v>
      </x:c>
      <x:c r="P17" s="42" t="n">
        <x:f>O23</x:f>
        <x:v>187652.80449855965</x:v>
      </x:c>
      <x:c r="Q17" s="42" t="n">
        <x:f>P23</x:f>
        <x:v>196572.90808706978</x:v>
      </x:c>
      <x:c r="R17" s="42" t="n">
        <x:f>Q23</x:f>
        <x:v>205765.50787808184</x:v>
      </x:c>
      <x:c r="S17" s="42" t="n">
        <x:f>R23</x:f>
        <x:v>215231.60472355166</x:v>
      </x:c>
      <x:c r="T17" s="42" t="n">
        <x:f>S23</x:f>
        <x:v>224972.20240088482</x:v>
      </x:c>
      <x:c r="U17" s="42" t="n">
        <x:f>T23</x:f>
        <x:v>235246.4287479475</x:v>
      </x:c>
      <x:c r="V17" s="42" t="n">
        <x:f>U23</x:f>
        <x:v>245797.63045383705</x:v>
      </x:c>
      <x:c r="W17" s="42" t="n">
        <x:f>V23</x:f>
        <x:v>256626.8210479563</x:v>
      </x:c>
      <x:c r="X17" s="42" t="n">
        <x:f>W23</x:f>
        <x:v>267735.0170179113</x:v>
      </x:c>
      <x:c r="Y17" s="42" t="n">
        <x:f>X23</x:f>
        <x:v>279383.4301167917</x:v>
      </x:c>
      <x:c r="Z17" s="42" t="n">
        <x:f>Y23</x:f>
        <x:v>291313.35231378395</x:v>
      </x:c>
      <x:c r="AA17" s="42" t="n">
        <x:f>Z23</x:f>
        <x:v>303525.8099546913</x:v>
      </x:c>
    </x:row>
    <x:row r="18" ht="21" customHeight="1">
      <x:c r="A18" s="1"/>
      <x:c r="B18" s="1"/>
      <x:c r="C18" s="1" t="str">
        <x:v>New customer MRR</x:v>
      </x:c>
      <x:c r="D18" s="38" t="n">
        <x:f>D12*'Assumptions'!D23</x:f>
        <x:v>6250</x:v>
      </x:c>
      <x:c r="E18" s="38" t="n">
        <x:f>E12*'Assumptions'!E23</x:f>
        <x:v>6262.5</x:v>
      </x:c>
      <x:c r="F18" s="38" t="n">
        <x:f>F12*'Assumptions'!F23</x:f>
        <x:v>6526.026</x:v>
      </x:c>
      <x:c r="G18" s="38" t="n">
        <x:f>G12*'Assumptions'!G23</x:f>
        <x:v>6790.581053999999</x:v>
      </x:c>
      <x:c r="H18" s="38" t="n">
        <x:f>H12*'Assumptions'!H23</x:f>
        <x:v>7056.168224112001</x:v>
      </x:c>
      <x:c r="I18" s="38" t="n">
        <x:f>I12*'Assumptions'!I23</x:f>
        <x:v>7070.280560560224</x:v>
      </x:c>
      <x:c r="J18" s="38" t="n">
        <x:f>J12*'Assumptions'!J23</x:f>
        <x:v>7337.4361617413915</x:v>
      </x:c>
      <x:c r="K18" s="38" t="n">
        <x:f>K12*'Assumptions'!K23</x:f>
        <x:v>7605.632104205044</x:v>
      </x:c>
      <x:c r="L18" s="38" t="n">
        <x:f>L12*'Assumptions'!L23</x:f>
        <x:v>7874.871480693903</x:v>
      </x:c>
      <x:c r="M18" s="38" t="n">
        <x:f>M12*'Assumptions'!M23</x:f>
        <x:v>8145.1573921603</x:v>
      </x:c>
      <x:c r="N18" s="38" t="n">
        <x:f>N12*'Assumptions'!N23</x:f>
        <x:v>8416.492947786639</x:v>
      </x:c>
      <x:c r="O18" s="38" t="n">
        <x:f>O12*'Assumptions'!O23</x:f>
        <x:v>8688.881265005915</x:v>
      </x:c>
      <x:c r="P18" s="38" t="n">
        <x:f>P12*'Assumptions'!P23</x:f>
        <x:v>8962.325469522279</x:v>
      </x:c>
      <x:c r="Q18" s="38" t="n">
        <x:f>Q12*'Assumptions'!Q23</x:f>
        <x:v>9236.82869533165</x:v>
      </x:c>
      <x:c r="R18" s="38" t="n">
        <x:f>R12*'Assumptions'!R23</x:f>
        <x:v>9512.394084742375</x:v>
      </x:c>
      <x:c r="S18" s="38" t="n">
        <x:f>S12*'Assumptions'!S23</x:f>
        <x:v>9789.024788395964</x:v>
      </x:c>
      <x:c r="T18" s="38" t="n">
        <x:f>T12*'Assumptions'!T23</x:f>
        <x:v>10324.845092602902</x:v>
      </x:c>
      <x:c r="U18" s="38" t="n">
        <x:f>U12*'Assumptions'!U23</x:f>
        <x:v>10604.132152357808</x:v>
      </x:c>
      <x:c r="V18" s="38" t="n">
        <x:f>V12*'Assumptions'!V23</x:f>
        <x:v>10884.495060971367</x:v>
      </x:c>
      <x:c r="W18" s="38" t="n">
        <x:f>W12*'Assumptions'!W23</x:f>
        <x:v>11165.93700469077</x:v>
      </x:c>
      <x:c r="X18" s="38" t="n">
        <x:f>X12*'Assumptions'!X23</x:f>
        <x:v>11708.65347770946</x:v>
      </x:c>
      <x:c r="Y18" s="38" t="n">
        <x:f>Y12*'Assumptions'!Y23</x:f>
        <x:v>11992.783468768544</x:v>
      </x:c>
      <x:c r="Z18" s="38" t="n">
        <x:f>Z12*'Assumptions'!Z23</x:f>
        <x:v>12278.00314517795</x:v>
      </x:c>
      <x:c r="AA18" s="38" t="n">
        <x:f>AA12*'Assumptions'!AA23</x:f>
        <x:v>12826.072306849937</x:v>
      </x:c>
    </x:row>
    <x:row r="19" ht="21" customHeight="1">
      <x:c r="A19" s="1"/>
      <x:c r="B19" s="1"/>
      <x:c r="C19" s="1" t="str">
        <x:v>Churned MRR</x:v>
      </x:c>
      <x:c r="D19" s="42" t="n">
        <x:f>D17*D13</x:f>
        <x:v>1500</x:v>
      </x:c>
      <x:c r="E19" s="42" t="n">
        <x:f>E17*E13</x:f>
        <x:v>1593.4125</x:v>
      </x:c>
      <x:c r="F19" s="42" t="n">
        <x:f>F17*F13</x:f>
        <x:v>1686.9914821874997</x:v>
      </x:c>
      <x:c r="G19" s="42" t="n">
        <x:f>G17*G13</x:f>
        <x:v>1784.5022991040075</x:v>
      </x:c>
      <x:c r="H19" s="42" t="n">
        <x:f>H17*H13</x:f>
        <x:v>1885.9595018967093</x:v>
      </x:c>
      <x:c r="I19" s="42" t="n">
        <x:f>I17*I13</x:f>
        <x:v>1991.377684370463</x:v>
      </x:c>
      <x:c r="J19" s="42" t="n">
        <x:f>J17*J13</x:f>
        <x:v>2096.9838327998827</x:v>
      </x:c>
      <x:c r="K19" s="42" t="n">
        <x:f>K17*K13</x:f>
        <x:v>2206.5735538636236</x:v>
      </x:c>
      <x:c r="L19" s="42" t="n">
        <x:f>L17*L13</x:f>
        <x:v>2320.1615563770797</x:v>
      </x:c>
      <x:c r="M19" s="42" t="n">
        <x:f>M17*M13</x:f>
        <x:v>2437.7625922373036</x:v>
      </x:c>
      <x:c r="N19" s="42" t="n">
        <x:f>N17*N13</x:f>
        <x:v>2559.3914565364544</x:v>
      </x:c>
      <x:c r="O19" s="42" t="n">
        <x:f>O17*O13</x:f>
        <x:v>2685.062987675533</x:v>
      </x:c>
      <x:c r="P19" s="42" t="n">
        <x:f>P17*P13</x:f>
        <x:v>2814.7920674783945</x:v>
      </x:c>
      <x:c r="Q19" s="42" t="n">
        <x:f>Q17*Q13</x:f>
        <x:v>2948.5936213060468</x:v>
      </x:c>
      <x:c r="R19" s="42" t="n">
        <x:f>R17*R13</x:f>
        <x:v>3086.4826181712274</x:v>
      </x:c>
      <x:c r="S19" s="42" t="n">
        <x:f>S17*S13</x:f>
        <x:v>3228.474070853275</x:v>
      </x:c>
      <x:c r="T19" s="42" t="n">
        <x:f>T17*T13</x:f>
        <x:v>3374.5830360132722</x:v>
      </x:c>
      <x:c r="U19" s="42" t="n">
        <x:f>U17*U13</x:f>
        <x:v>3528.6964312192126</x:v>
      </x:c>
      <x:c r="V19" s="42" t="n">
        <x:f>V17*V13</x:f>
        <x:v>3686.9644568075555</x:v>
      </x:c>
      <x:c r="W19" s="42" t="n">
        <x:f>W17*W13</x:f>
        <x:v>3849.402315719344</x:v>
      </x:c>
      <x:c r="X19" s="42" t="n">
        <x:f>X17*X13</x:f>
        <x:v>4016.0252552686693</x:v>
      </x:c>
      <x:c r="Y19" s="42" t="n">
        <x:f>Y17*Y13</x:f>
        <x:v>4190.751451751875</x:v>
      </x:c>
      <x:c r="Z19" s="42" t="n">
        <x:f>Z17*Z13</x:f>
        <x:v>4369.700284706759</x:v>
      </x:c>
      <x:c r="AA19" s="42" t="n">
        <x:f>AA17*AA13</x:f>
        <x:v>4552.88714932037</x:v>
      </x:c>
    </x:row>
    <x:row r="20" ht="21" customHeight="1">
      <x:c r="A20" s="1"/>
      <x:c r="B20" s="1"/>
      <x:c r="C20" s="1" t="str">
        <x:v>Retained MRR before upsell</x:v>
      </x:c>
      <x:c r="D20" s="42" t="n">
        <x:f>D17-D19</x:f>
        <x:v>98500</x:v>
      </x:c>
      <x:c r="E20" s="42" t="n">
        <x:f>E17-E19</x:f>
        <x:v>104634.0875</x:v>
      </x:c>
      <x:c r="F20" s="42" t="n">
        <x:f>F17-F19</x:f>
        <x:v>110779.10733031249</x:v>
      </x:c>
      <x:c r="G20" s="42" t="n">
        <x:f>G17-G19</x:f>
        <x:v>117182.31764116317</x:v>
      </x:c>
      <x:c r="H20" s="42" t="n">
        <x:f>H17-H19</x:f>
        <x:v>123844.67395788392</x:v>
      </x:c>
      <x:c r="I20" s="42" t="n">
        <x:f>I17-I19</x:f>
        <x:v>130767.13460699373</x:v>
      </x:c>
      <x:c r="J20" s="42" t="n">
        <x:f>J17-J19</x:f>
        <x:v>137701.93835385898</x:v>
      </x:c>
      <x:c r="K20" s="42" t="n">
        <x:f>K17-K19</x:f>
        <x:v>144898.33003704462</x:v>
      </x:c>
      <x:c r="L20" s="42" t="n">
        <x:f>L17-L19</x:f>
        <x:v>152357.27553542826</x:v>
      </x:c>
      <x:c r="M20" s="42" t="n">
        <x:f>M17-M19</x:f>
        <x:v>160079.74355691628</x:v>
      </x:c>
      <x:c r="N20" s="42" t="n">
        <x:f>N17-N19</x:f>
        <x:v>168066.70564589385</x:v>
      </x:c>
      <x:c r="O20" s="42" t="n">
        <x:f>O17-O19</x:f>
        <x:v>176319.13619069333</x:v>
      </x:c>
      <x:c r="P20" s="42" t="n">
        <x:f>P17-P19</x:f>
        <x:v>184838.01243108127</x:v>
      </x:c>
      <x:c r="Q20" s="42" t="n">
        <x:f>Q17-Q19</x:f>
        <x:v>193624.31446576375</x:v>
      </x:c>
      <x:c r="R20" s="42" t="n">
        <x:f>R17-R19</x:f>
        <x:v>202679.02525991062</x:v>
      </x:c>
      <x:c r="S20" s="42" t="n">
        <x:f>S17-S19</x:f>
        <x:v>212003.1306526984</x:v>
      </x:c>
      <x:c r="T20" s="42" t="n">
        <x:f>T17-T19</x:f>
        <x:v>221597.61936487156</x:v>
      </x:c>
      <x:c r="U20" s="42" t="n">
        <x:f>U17-U19</x:f>
        <x:v>231717.7323167283</x:v>
      </x:c>
      <x:c r="V20" s="42" t="n">
        <x:f>V17-V19</x:f>
        <x:v>242110.6659970295</x:v>
      </x:c>
      <x:c r="W20" s="42" t="n">
        <x:f>W17-W19</x:f>
        <x:v>252777.41873223695</x:v>
      </x:c>
      <x:c r="X20" s="42" t="n">
        <x:f>X17-X19</x:f>
        <x:v>263718.99176264263</x:v>
      </x:c>
      <x:c r="Y20" s="42" t="n">
        <x:f>Y17-Y19</x:f>
        <x:v>275192.6786650398</x:v>
      </x:c>
      <x:c r="Z20" s="42" t="n">
        <x:f>Z17-Z19</x:f>
        <x:v>286943.6520290772</x:v>
      </x:c>
      <x:c r="AA20" s="42" t="n">
        <x:f>AA17-AA19</x:f>
        <x:v>298972.92280537094</x:v>
      </x:c>
    </x:row>
    <x:row r="21" ht="21" customHeight="1">
      <x:c r="A21" s="1"/>
      <x:c r="B21" s="1"/>
      <x:c r="C21" s="1" t="str">
        <x:v>Expansion MRR</x:v>
      </x:c>
      <x:c r="D21" s="38" t="n">
        <x:f>D20*'Assumptions'!D31</x:f>
        <x:v>1772.9999999999998</x:v>
      </x:c>
      <x:c r="E21" s="38" t="n">
        <x:f>E20*'Assumptions'!E31</x:f>
        <x:v>1883.4135749999998</x:v>
      </x:c>
      <x:c r="F21" s="38" t="n">
        <x:f>F20*'Assumptions'!F31</x:f>
        <x:v>1994.0239319456246</x:v>
      </x:c>
      <x:c r="G21" s="38" t="n">
        <x:f>G20*'Assumptions'!G31</x:f>
        <x:v>2109.281717540937</x:v>
      </x:c>
      <x:c r="H21" s="38" t="n">
        <x:f>H20*'Assumptions'!H31</x:f>
        <x:v>2229.2041312419105</x:v>
      </x:c>
      <x:c r="I21" s="38" t="n">
        <x:f>I20*'Assumptions'!I31</x:f>
        <x:v>2353.808422925887</x:v>
      </x:c>
      <x:c r="J21" s="38" t="n">
        <x:f>J20*'Assumptions'!J31</x:f>
        <x:v>2478.6348903694616</x:v>
      </x:c>
      <x:c r="K21" s="38" t="n">
        <x:f>K20*'Assumptions'!K31</x:f>
        <x:v>2608.169940666803</x:v>
      </x:c>
      <x:c r="L21" s="38" t="n">
        <x:f>L20*'Assumptions'!L31</x:f>
        <x:v>2742.4309596377084</x:v>
      </x:c>
      <x:c r="M21" s="38" t="n">
        <x:f>M20*'Assumptions'!M31</x:f>
        <x:v>2881.4353840244926</x:v>
      </x:c>
      <x:c r="N21" s="38" t="n">
        <x:f>N20*'Assumptions'!N31</x:f>
        <x:v>3025.200701626089</x:v>
      </x:c>
      <x:c r="O21" s="38" t="n">
        <x:f>O20*'Assumptions'!O31</x:f>
        <x:v>3173.7444514324798</x:v>
      </x:c>
      <x:c r="P21" s="38" t="n">
        <x:f>P20*'Assumptions'!P31</x:f>
        <x:v>3327.0842237594625</x:v>
      </x:c>
      <x:c r="Q21" s="38" t="n">
        <x:f>Q20*'Assumptions'!Q31</x:f>
        <x:v>3485.237660383747</x:v>
      </x:c>
      <x:c r="R21" s="38" t="n">
        <x:f>R20*'Assumptions'!R31</x:f>
        <x:v>3648.222454678391</x:v>
      </x:c>
      <x:c r="S21" s="38" t="n">
        <x:f>S20*'Assumptions'!S31</x:f>
        <x:v>3816.0563517485707</x:v>
      </x:c>
      <x:c r="T21" s="38" t="n">
        <x:f>T20*'Assumptions'!T31</x:f>
        <x:v>3988.7571485676876</x:v>
      </x:c>
      <x:c r="U21" s="38" t="n">
        <x:f>U20*'Assumptions'!U31</x:f>
        <x:v>4170.919181701109</x:v>
      </x:c>
      <x:c r="V21" s="38" t="n">
        <x:f>V20*'Assumptions'!V31</x:f>
        <x:v>4357.991987946531</x:v>
      </x:c>
      <x:c r="W21" s="38" t="n">
        <x:f>W20*'Assumptions'!W31</x:f>
        <x:v>4549.993537180265</x:v>
      </x:c>
      <x:c r="X21" s="38" t="n">
        <x:f>X20*'Assumptions'!X31</x:f>
        <x:v>4746.941851727567</x:v>
      </x:c>
      <x:c r="Y21" s="38" t="n">
        <x:f>Y20*'Assumptions'!Y31</x:f>
        <x:v>4953.468215970716</x:v>
      </x:c>
      <x:c r="Z21" s="38" t="n">
        <x:f>Z20*'Assumptions'!Z31</x:f>
        <x:v>5164.985736523388</x:v>
      </x:c>
      <x:c r="AA21" s="38" t="n">
        <x:f>AA20*'Assumptions'!AA31</x:f>
        <x:v>5381.512610496677</x:v>
      </x:c>
    </x:row>
    <x:row r="22" ht="21" customHeight="1">
      <x:c r="A22" s="1"/>
      <x:c r="B22" s="1"/>
      <x:c r="C22" s="1" t="str">
        <x:v>Contraction MRR</x:v>
      </x:c>
      <x:c r="D22" s="38" t="n">
        <x:f>D20*'Assumptions'!D35</x:f>
        <x:v>295.5</x:v>
      </x:c>
      <x:c r="E22" s="38" t="n">
        <x:f>E20*'Assumptions'!E35</x:f>
        <x:v>313.9022625</x:v>
      </x:c>
      <x:c r="F22" s="38" t="n">
        <x:f>F20*'Assumptions'!F35</x:f>
        <x:v>332.3373219909375</x:v>
      </x:c>
      <x:c r="G22" s="38" t="n">
        <x:f>G20*'Assumptions'!G35</x:f>
        <x:v>351.5469529234895</x:v>
      </x:c>
      <x:c r="H22" s="38" t="n">
        <x:f>H20*'Assumptions'!H35</x:f>
        <x:v>371.53402187365174</x:v>
      </x:c>
      <x:c r="I22" s="38" t="n">
        <x:f>I20*'Assumptions'!I35</x:f>
        <x:v>392.3014038209812</x:v>
      </x:c>
      <x:c r="J22" s="38" t="n">
        <x:f>J20*'Assumptions'!J35</x:f>
        <x:v>413.10581506157695</x:v>
      </x:c>
      <x:c r="K22" s="38" t="n">
        <x:f>K20*'Assumptions'!K35</x:f>
        <x:v>434.6949901111339</x:v>
      </x:c>
      <x:c r="L22" s="38" t="n">
        <x:f>L20*'Assumptions'!L35</x:f>
        <x:v>457.0718266062848</x:v>
      </x:c>
      <x:c r="M22" s="38" t="n">
        <x:f>M20*'Assumptions'!M35</x:f>
        <x:v>480.23923067074884</x:v>
      </x:c>
      <x:c r="N22" s="38" t="n">
        <x:f>N20*'Assumptions'!N35</x:f>
        <x:v>504.20011693768157</x:v>
      </x:c>
      <x:c r="O22" s="38" t="n">
        <x:f>O20*'Assumptions'!O35</x:f>
        <x:v>528.95740857208</x:v>
      </x:c>
      <x:c r="P22" s="38" t="n">
        <x:f>P20*'Assumptions'!P35</x:f>
        <x:v>554.5140372932439</x:v>
      </x:c>
      <x:c r="Q22" s="38" t="n">
        <x:f>Q20*'Assumptions'!Q35</x:f>
        <x:v>580.8729433972912</x:v>
      </x:c>
      <x:c r="R22" s="38" t="n">
        <x:f>R20*'Assumptions'!R35</x:f>
        <x:v>608.0370757797318</x:v>
      </x:c>
      <x:c r="S22" s="38" t="n">
        <x:f>S20*'Assumptions'!S35</x:f>
        <x:v>636.0093919580952</x:v>
      </x:c>
      <x:c r="T22" s="38" t="n">
        <x:f>T20*'Assumptions'!T35</x:f>
        <x:v>664.7928580946146</x:v>
      </x:c>
      <x:c r="U22" s="38" t="n">
        <x:f>U20*'Assumptions'!U35</x:f>
        <x:v>695.1531969501849</x:v>
      </x:c>
      <x:c r="V22" s="38" t="n">
        <x:f>V20*'Assumptions'!V35</x:f>
        <x:v>726.3319979910884</x:v>
      </x:c>
      <x:c r="W22" s="38" t="n">
        <x:f>W20*'Assumptions'!W35</x:f>
        <x:v>758.3322561967109</x:v>
      </x:c>
      <x:c r="X22" s="38" t="n">
        <x:f>X20*'Assumptions'!X35</x:f>
        <x:v>791.1569752879279</x:v>
      </x:c>
      <x:c r="Y22" s="38" t="n">
        <x:f>Y20*'Assumptions'!Y35</x:f>
        <x:v>825.5780359951195</x:v>
      </x:c>
      <x:c r="Z22" s="38" t="n">
        <x:f>Z20*'Assumptions'!Z35</x:f>
        <x:v>860.8309560872316</x:v>
      </x:c>
      <x:c r="AA22" s="38" t="n">
        <x:f>AA20*'Assumptions'!AA35</x:f>
        <x:v>896.9187684161128</x:v>
      </x:c>
    </x:row>
    <x:row r="23" ht="21" customHeight="1">
      <x:c r="A23" s="1"/>
      <x:c r="B23" s="1"/>
      <x:c r="C23" s="19" t="str">
        <x:v>Ending MRR</x:v>
      </x:c>
      <x:c r="D23" s="21" t="n">
        <x:f>SUM(D20:D21)+D18-D22</x:f>
        <x:v>106227.5</x:v>
      </x:c>
      <x:c r="E23" s="21" t="n">
        <x:f>SUM(E20:E21)+E18-E22</x:f>
        <x:v>112466.09881249999</x:v>
      </x:c>
      <x:c r="F23" s="21" t="n">
        <x:f>SUM(F20:F21)+F18-F22</x:f>
        <x:v>118966.81994026717</x:v>
      </x:c>
      <x:c r="G23" s="21" t="n">
        <x:f>SUM(G20:G21)+G18-G22</x:f>
        <x:v>125730.63345978063</x:v>
      </x:c>
      <x:c r="H23" s="21" t="n">
        <x:f>SUM(H20:H21)+H18-H22</x:f>
        <x:v>132758.5122913642</x:v>
      </x:c>
      <x:c r="I23" s="21" t="n">
        <x:f>SUM(I20:I21)+I18-I22</x:f>
        <x:v>139798.92218665886</x:v>
      </x:c>
      <x:c r="J23" s="21" t="n">
        <x:f>SUM(J20:J21)+J18-J22</x:f>
        <x:v>147104.90359090824</x:v>
      </x:c>
      <x:c r="K23" s="21" t="n">
        <x:f>SUM(K20:K21)+K18-K22</x:f>
        <x:v>154677.43709180533</x:v>
      </x:c>
      <x:c r="L23" s="21" t="n">
        <x:f>SUM(L20:L21)+L18-L22</x:f>
        <x:v>162517.50614915357</x:v>
      </x:c>
      <x:c r="M23" s="21" t="n">
        <x:f>SUM(M20:M21)+M18-M22</x:f>
        <x:v>170626.0971024303</x:v>
      </x:c>
      <x:c r="N23" s="21" t="n">
        <x:f>SUM(N20:N21)+N18-N22</x:f>
        <x:v>179004.19917836887</x:v>
      </x:c>
      <x:c r="O23" s="21" t="n">
        <x:f>SUM(O20:O21)+O18-O22</x:f>
        <x:v>187652.80449855965</x:v>
      </x:c>
      <x:c r="P23" s="21" t="n">
        <x:f>SUM(P20:P21)+P18-P22</x:f>
        <x:v>196572.90808706978</x:v>
      </x:c>
      <x:c r="Q23" s="21" t="n">
        <x:f>SUM(Q20:Q21)+Q18-Q22</x:f>
        <x:v>205765.50787808184</x:v>
      </x:c>
      <x:c r="R23" s="21" t="n">
        <x:f>SUM(R20:R21)+R18-R22</x:f>
        <x:v>215231.60472355166</x:v>
      </x:c>
      <x:c r="S23" s="21" t="n">
        <x:f>SUM(S20:S21)+S18-S22</x:f>
        <x:v>224972.20240088482</x:v>
      </x:c>
      <x:c r="T23" s="21" t="n">
        <x:f>SUM(T20:T21)+T18-T22</x:f>
        <x:v>235246.4287479475</x:v>
      </x:c>
      <x:c r="U23" s="21" t="n">
        <x:f>SUM(U20:U21)+U18-U22</x:f>
        <x:v>245797.63045383705</x:v>
      </x:c>
      <x:c r="V23" s="21" t="n">
        <x:f>SUM(V20:V21)+V18-V22</x:f>
        <x:v>256626.8210479563</x:v>
      </x:c>
      <x:c r="W23" s="21" t="n">
        <x:f>SUM(W20:W21)+W18-W22</x:f>
        <x:v>267735.0170179113</x:v>
      </x:c>
      <x:c r="X23" s="21" t="n">
        <x:f>SUM(X20:X21)+X18-X22</x:f>
        <x:v>279383.4301167917</x:v>
      </x:c>
      <x:c r="Y23" s="21" t="n">
        <x:f>SUM(Y20:Y21)+Y18-Y22</x:f>
        <x:v>291313.35231378395</x:v>
      </x:c>
      <x:c r="Z23" s="21" t="n">
        <x:f>SUM(Z20:Z21)+Z18-Z22</x:f>
        <x:v>303525.8099546913</x:v>
      </x:c>
      <x:c r="AA23" s="21" t="n">
        <x:f>SUM(AA20:AA21)+AA18-AA22</x:f>
        <x:v>316283.58895430143</x:v>
      </x:c>
    </x:row>
    <x:row r="24" ht="21" customHeight="1">
      <x:c r="A24" s="1"/>
      <x:c r="B24" s="1"/>
      <x:c r="C24" s="19" t="str">
        <x:v>Ending ARR (MRR × 12)</x:v>
      </x:c>
      <x:c r="D24" s="21" t="n">
        <x:f>D23*12</x:f>
        <x:v>1274730</x:v>
      </x:c>
      <x:c r="E24" s="21" t="n">
        <x:f>E23*12</x:f>
        <x:v>1349593.1857499997</x:v>
      </x:c>
      <x:c r="F24" s="21" t="n">
        <x:f>F23*12</x:f>
        <x:v>1427601.839283206</x:v>
      </x:c>
      <x:c r="G24" s="21" t="n">
        <x:f>G23*12</x:f>
        <x:v>1508767.6015173676</x:v>
      </x:c>
      <x:c r="H24" s="21" t="n">
        <x:f>H23*12</x:f>
        <x:v>1593102.1474963704</x:v>
      </x:c>
      <x:c r="I24" s="21" t="n">
        <x:f>I23*12</x:f>
        <x:v>1677587.0662399065</x:v>
      </x:c>
      <x:c r="J24" s="21" t="n">
        <x:f>J23*12</x:f>
        <x:v>1765258.8430908988</x:v>
      </x:c>
      <x:c r="K24" s="21" t="n">
        <x:f>K23*12</x:f>
        <x:v>1856129.245101664</x:v>
      </x:c>
      <x:c r="L24" s="21" t="n">
        <x:f>L23*12</x:f>
        <x:v>1950210.073789843</x:v>
      </x:c>
      <x:c r="M24" s="21" t="n">
        <x:f>M23*12</x:f>
        <x:v>2047513.1652291636</x:v>
      </x:c>
      <x:c r="N24" s="21" t="n">
        <x:f>N23*12</x:f>
        <x:v>2148050.3901404263</x:v>
      </x:c>
      <x:c r="O24" s="21" t="n">
        <x:f>O23*12</x:f>
        <x:v>2251833.6539827157</x:v>
      </x:c>
      <x:c r="P24" s="21" t="n">
        <x:f>P23*12</x:f>
        <x:v>2358874.8970448375</x:v>
      </x:c>
      <x:c r="Q24" s="21" t="n">
        <x:f>Q23*12</x:f>
        <x:v>2469186.094536982</x:v>
      </x:c>
      <x:c r="R24" s="21" t="n">
        <x:f>R23*12</x:f>
        <x:v>2582779.25668262</x:v>
      </x:c>
      <x:c r="S24" s="21" t="n">
        <x:f>S23*12</x:f>
        <x:v>2699666.428810618</x:v>
      </x:c>
      <x:c r="T24" s="21" t="n">
        <x:f>T23*12</x:f>
        <x:v>2822957.14497537</x:v>
      </x:c>
      <x:c r="U24" s="21" t="n">
        <x:f>U23*12</x:f>
        <x:v>2949571.5654460443</x:v>
      </x:c>
      <x:c r="V24" s="21" t="n">
        <x:f>V23*12</x:f>
        <x:v>3079521.8525754754</x:v>
      </x:c>
      <x:c r="W24" s="21" t="n">
        <x:f>W23*12</x:f>
        <x:v>3212820.2042149357</x:v>
      </x:c>
      <x:c r="X24" s="21" t="n">
        <x:f>X23*12</x:f>
        <x:v>3352601.1614015</x:v>
      </x:c>
      <x:c r="Y24" s="21" t="n">
        <x:f>Y23*12</x:f>
        <x:v>3495760.2277654074</x:v>
      </x:c>
      <x:c r="Z24" s="21" t="n">
        <x:f>Z23*12</x:f>
        <x:v>3642309.719456296</x:v>
      </x:c>
      <x:c r="AA24" s="21" t="n">
        <x:f>AA23*12</x:f>
        <x:v>3795403.067451617</x:v>
      </x:c>
    </x:row>
    <x:row r="25" ht="21" customHeight="1">
      <x:c r="A25" s="1"/>
      <x:c r="B25" s="1"/>
      <x:c r="C25" s="19" t="str">
        <x:v>Recognized subscription revenue</x:v>
      </x:c>
      <x:c r="D25" s="21" t="n">
        <x:f>AVERAGE(D17,D23)</x:f>
        <x:v>103113.75</x:v>
      </x:c>
      <x:c r="E25" s="21" t="n">
        <x:f>AVERAGE(E17,E23)</x:f>
        <x:v>109346.79940625</x:v>
      </x:c>
      <x:c r="F25" s="21" t="n">
        <x:f>AVERAGE(F17,F23)</x:f>
        <x:v>115716.45937638357</x:v>
      </x:c>
      <x:c r="G25" s="21" t="n">
        <x:f>AVERAGE(G17,G23)</x:f>
        <x:v>122348.7267000239</x:v>
      </x:c>
      <x:c r="H25" s="21" t="n">
        <x:f>AVERAGE(H17,H23)</x:f>
        <x:v>129244.57287557241</x:v>
      </x:c>
      <x:c r="I25" s="21" t="n">
        <x:f>AVERAGE(I17,I23)</x:f>
        <x:v>136278.71723901154</x:v>
      </x:c>
      <x:c r="J25" s="21" t="n">
        <x:f>AVERAGE(J17,J23)</x:f>
        <x:v>143451.91288878355</x:v>
      </x:c>
      <x:c r="K25" s="21" t="n">
        <x:f>AVERAGE(K17,K23)</x:f>
        <x:v>150891.17034135677</x:v>
      </x:c>
      <x:c r="L25" s="21" t="n">
        <x:f>AVERAGE(L17,L23)</x:f>
        <x:v>158597.47162047945</x:v>
      </x:c>
      <x:c r="M25" s="21" t="n">
        <x:f>AVERAGE(M17,M23)</x:f>
        <x:v>166571.80162579194</x:v>
      </x:c>
      <x:c r="N25" s="21" t="n">
        <x:f>AVERAGE(N17,N23)</x:f>
        <x:v>174815.1481403996</x:v>
      </x:c>
      <x:c r="O25" s="21" t="n">
        <x:f>AVERAGE(O17,O23)</x:f>
        <x:v>183328.50183846426</x:v>
      </x:c>
      <x:c r="P25" s="21" t="n">
        <x:f>AVERAGE(P17,P23)</x:f>
        <x:v>192112.85629281471</x:v>
      </x:c>
      <x:c r="Q25" s="21" t="n">
        <x:f>AVERAGE(Q17,Q23)</x:f>
        <x:v>201169.2079825758</x:v>
      </x:c>
      <x:c r="R25" s="21" t="n">
        <x:f>AVERAGE(R17,R23)</x:f>
        <x:v>210498.55630081677</x:v>
      </x:c>
      <x:c r="S25" s="21" t="n">
        <x:f>AVERAGE(S17,S23)</x:f>
        <x:v>220101.90356221824</x:v>
      </x:c>
      <x:c r="T25" s="21" t="n">
        <x:f>AVERAGE(T17,T23)</x:f>
        <x:v>230109.31557441616</x:v>
      </x:c>
      <x:c r="U25" s="21" t="n">
        <x:f>AVERAGE(U17,U23)</x:f>
        <x:v>240522.02960089227</x:v>
      </x:c>
      <x:c r="V25" s="21" t="n">
        <x:f>AVERAGE(V17,V23)</x:f>
        <x:v>251212.22575089667</x:v>
      </x:c>
      <x:c r="W25" s="21" t="n">
        <x:f>AVERAGE(W17,W23)</x:f>
        <x:v>262180.9190329338</x:v>
      </x:c>
      <x:c r="X25" s="21" t="n">
        <x:f>AVERAGE(X17,X23)</x:f>
        <x:v>273559.22356735147</x:v>
      </x:c>
      <x:c r="Y25" s="21" t="n">
        <x:f>AVERAGE(Y17,Y23)</x:f>
        <x:v>285348.39121528785</x:v>
      </x:c>
      <x:c r="Z25" s="21" t="n">
        <x:f>AVERAGE(Z17,Z23)</x:f>
        <x:v>297419.58113423764</x:v>
      </x:c>
      <x:c r="AA25" s="21" t="n">
        <x:f>AVERAGE(AA17,AA23)</x:f>
        <x:v>309904.6994544964</x:v>
      </x:c>
    </x:row>
    <x:row r="26" ht="21" customHeight="1">
      <x:c r="A26" s="1"/>
      <x:c r="B26" s="1"/>
      <x:c r="C26" s="56" t="str">
        <x:v>Monthly GRR</x:v>
      </x:c>
      <x:c r="D26" s="62" t="n">
        <x:f>IF(D17=0,"n.a.",(D20-D22)/D17)</x:f>
        <x:v>0.982045</x:v>
      </x:c>
      <x:c r="E26" s="62" t="n">
        <x:f>IF(E17=0,"n.a.",(E20-E22)/E17)</x:f>
        <x:v>0.9820449999999998</x:v>
      </x:c>
      <x:c r="F26" s="62" t="n">
        <x:f>IF(F17=0,"n.a.",(F20-F22)/F17)</x:f>
        <x:v>0.982045</x:v>
      </x:c>
      <x:c r="G26" s="62" t="n">
        <x:f>IF(G17=0,"n.a.",(G20-G22)/G17)</x:f>
        <x:v>0.9820450000000001</x:v>
      </x:c>
      <x:c r="H26" s="62" t="n">
        <x:f>IF(H17=0,"n.a.",(H20-H22)/H17)</x:f>
        <x:v>0.982045</x:v>
      </x:c>
      <x:c r="I26" s="62" t="n">
        <x:f>IF(I17=0,"n.a.",(I20-I22)/I17)</x:f>
        <x:v>0.982045</x:v>
      </x:c>
      <x:c r="J26" s="62" t="n">
        <x:f>IF(J17=0,"n.a.",(J20-J22)/J17)</x:f>
        <x:v>0.9820450000000001</x:v>
      </x:c>
      <x:c r="K26" s="62" t="n">
        <x:f>IF(K17=0,"n.a.",(K20-K22)/K17)</x:f>
        <x:v>0.982045</x:v>
      </x:c>
      <x:c r="L26" s="62" t="n">
        <x:f>IF(L17=0,"n.a.",(L20-L22)/L17)</x:f>
        <x:v>0.982045</x:v>
      </x:c>
      <x:c r="M26" s="62" t="n">
        <x:f>IF(M17=0,"n.a.",(M20-M22)/M17)</x:f>
        <x:v>0.982045</x:v>
      </x:c>
      <x:c r="N26" s="62" t="n">
        <x:f>IF(N17=0,"n.a.",(N20-N22)/N17)</x:f>
        <x:v>0.982045</x:v>
      </x:c>
      <x:c r="O26" s="62" t="n">
        <x:f>IF(O17=0,"n.a.",(O20-O22)/O17)</x:f>
        <x:v>0.982045</x:v>
      </x:c>
      <x:c r="P26" s="62" t="n">
        <x:f>IF(P17=0,"n.a.",(P20-P22)/P17)</x:f>
        <x:v>0.9820450000000001</x:v>
      </x:c>
      <x:c r="Q26" s="62" t="n">
        <x:f>IF(Q17=0,"n.a.",(Q20-Q22)/Q17)</x:f>
        <x:v>0.9820450000000001</x:v>
      </x:c>
      <x:c r="R26" s="62" t="n">
        <x:f>IF(R17=0,"n.a.",(R20-R22)/R17)</x:f>
        <x:v>0.9820450000000001</x:v>
      </x:c>
      <x:c r="S26" s="62" t="n">
        <x:f>IF(S17=0,"n.a.",(S20-S22)/S17)</x:f>
        <x:v>0.9820450000000001</x:v>
      </x:c>
      <x:c r="T26" s="62" t="n">
        <x:f>IF(T17=0,"n.a.",(T20-T22)/T17)</x:f>
        <x:v>0.9820450000000001</x:v>
      </x:c>
      <x:c r="U26" s="62" t="n">
        <x:f>IF(U17=0,"n.a.",(U20-U22)/U17)</x:f>
        <x:v>0.9820450000000001</x:v>
      </x:c>
      <x:c r="V26" s="62" t="n">
        <x:f>IF(V17=0,"n.a.",(V20-V22)/V17)</x:f>
        <x:v>0.982045</x:v>
      </x:c>
      <x:c r="W26" s="62" t="n">
        <x:f>IF(W17=0,"n.a.",(W20-W22)/W17)</x:f>
        <x:v>0.9820450000000001</x:v>
      </x:c>
      <x:c r="X26" s="62" t="n">
        <x:f>IF(X17=0,"n.a.",(X20-X22)/X17)</x:f>
        <x:v>0.982045</x:v>
      </x:c>
      <x:c r="Y26" s="62" t="n">
        <x:f>IF(Y17=0,"n.a.",(Y20-Y22)/Y17)</x:f>
        <x:v>0.9820450000000001</x:v>
      </x:c>
      <x:c r="Z26" s="62" t="n">
        <x:f>IF(Z17=0,"n.a.",(Z20-Z22)/Z17)</x:f>
        <x:v>0.982045</x:v>
      </x:c>
      <x:c r="AA26" s="62" t="n">
        <x:f>IF(AA17=0,"n.a.",(AA20-AA22)/AA17)</x:f>
        <x:v>0.982045</x:v>
      </x:c>
    </x:row>
    <x:row r="27" ht="21" customHeight="1">
      <x:c r="A27" s="1"/>
      <x:c r="B27" s="1"/>
      <x:c r="C27" s="56" t="str">
        <x:v>Monthly NRR</x:v>
      </x:c>
      <x:c r="D27" s="62" t="n">
        <x:f>IF(D17=0,"n.a.",(D23-D18)/D17)</x:f>
        <x:v>0.999775</x:v>
      </x:c>
      <x:c r="E27" s="62" t="n">
        <x:f>IF(E17=0,"n.a.",(E23-E18)/E17)</x:f>
        <x:v>0.9997749999999999</x:v>
      </x:c>
      <x:c r="F27" s="62" t="n">
        <x:f>IF(F17=0,"n.a.",(F23-F18)/F17)</x:f>
        <x:v>0.9997750000000001</x:v>
      </x:c>
      <x:c r="G27" s="62" t="n">
        <x:f>IF(G17=0,"n.a.",(G23-G18)/G17)</x:f>
        <x:v>0.9997750000000002</x:v>
      </x:c>
      <x:c r="H27" s="62" t="n">
        <x:f>IF(H17=0,"n.a.",(H23-H18)/H17)</x:f>
        <x:v>0.9997750000000002</x:v>
      </x:c>
      <x:c r="I27" s="62" t="n">
        <x:f>IF(I17=0,"n.a.",(I23-I18)/I17)</x:f>
        <x:v>0.999775</x:v>
      </x:c>
      <x:c r="J27" s="62" t="n">
        <x:f>IF(J17=0,"n.a.",(J23-J18)/J17)</x:f>
        <x:v>0.999775</x:v>
      </x:c>
      <x:c r="K27" s="62" t="n">
        <x:f>IF(K17=0,"n.a.",(K23-K18)/K17)</x:f>
        <x:v>0.9997749999999999</x:v>
      </x:c>
      <x:c r="L27" s="62" t="n">
        <x:f>IF(L17=0,"n.a.",(L23-L18)/L17)</x:f>
        <x:v>0.999775</x:v>
      </x:c>
      <x:c r="M27" s="62" t="n">
        <x:f>IF(M17=0,"n.a.",(M23-M18)/M17)</x:f>
        <x:v>0.999775</x:v>
      </x:c>
      <x:c r="N27" s="62" t="n">
        <x:f>IF(N17=0,"n.a.",(N23-N18)/N17)</x:f>
        <x:v>0.9997749999999999</x:v>
      </x:c>
      <x:c r="O27" s="62" t="n">
        <x:f>IF(O17=0,"n.a.",(O23-O18)/O17)</x:f>
        <x:v>0.999775</x:v>
      </x:c>
      <x:c r="P27" s="62" t="n">
        <x:f>IF(P17=0,"n.a.",(P23-P18)/P17)</x:f>
        <x:v>0.9997750000000002</x:v>
      </x:c>
      <x:c r="Q27" s="62" t="n">
        <x:f>IF(Q17=0,"n.a.",(Q23-Q18)/Q17)</x:f>
        <x:v>0.9997750000000001</x:v>
      </x:c>
      <x:c r="R27" s="62" t="n">
        <x:f>IF(R17=0,"n.a.",(R23-R18)/R17)</x:f>
        <x:v>0.999775</x:v>
      </x:c>
      <x:c r="S27" s="62" t="n">
        <x:f>IF(S17=0,"n.a.",(S23-S18)/S17)</x:f>
        <x:v>0.999775</x:v>
      </x:c>
      <x:c r="T27" s="62" t="n">
        <x:f>IF(T17=0,"n.a.",(T23-T18)/T17)</x:f>
        <x:v>0.999775</x:v>
      </x:c>
      <x:c r="U27" s="62" t="n">
        <x:f>IF(U17=0,"n.a.",(U23-U18)/U17)</x:f>
        <x:v>0.9997750000000001</x:v>
      </x:c>
      <x:c r="V27" s="62" t="n">
        <x:f>IF(V17=0,"n.a.",(V23-V18)/V17)</x:f>
        <x:v>0.9997750000000001</x:v>
      </x:c>
      <x:c r="W27" s="62" t="n">
        <x:f>IF(W17=0,"n.a.",(W23-W18)/W17)</x:f>
        <x:v>0.9997750000000002</x:v>
      </x:c>
      <x:c r="X27" s="62" t="n">
        <x:f>IF(X17=0,"n.a.",(X23-X18)/X17)</x:f>
        <x:v>0.9997749999999999</x:v>
      </x:c>
      <x:c r="Y27" s="62" t="n">
        <x:f>IF(Y17=0,"n.a.",(Y23-Y18)/Y17)</x:f>
        <x:v>0.9997750000000001</x:v>
      </x:c>
      <x:c r="Z27" s="62" t="n">
        <x:f>IF(Z17=0,"n.a.",(Z23-Z18)/Z17)</x:f>
        <x:v>0.9997750000000001</x:v>
      </x:c>
      <x:c r="AA27" s="62" t="n">
        <x:f>IF(AA17=0,"n.a.",(AA23-AA18)/AA17)</x:f>
        <x:v>0.999775</x:v>
      </x:c>
    </x:row>
    <x:row r="28" ht="21" customHeight="1">
      <x:c r="A28" s="1"/>
      <x:c r="B28" s="1"/>
      <x:c r="C28" s="1" t="str">
        <x:v>Ending monthly ARPA</x:v>
      </x:c>
      <x:c r="D28" s="42" t="n">
        <x:f>IF(D15=0,"n.a.",D23/D15)</x:f>
        <x:v>253.52625298329355</x:v>
      </x:c>
      <x:c r="E28" s="42" t="n">
        <x:f>IF(E15=0,"n.a.",E23/E15)</x:f>
        <x:v>256.939101498692</x:v>
      </x:c>
      <x:c r="F28" s="42" t="n">
        <x:f>IF(F15=0,"n.a.",F23/F15)</x:f>
        <x:v>260.2362651461433</x:v>
      </x:c>
      <x:c r="G28" s="42" t="n">
        <x:f>IF(G15=0,"n.a.",G23/G15)</x:f>
        <x:v>263.42495581197744</x:v>
      </x:c>
      <x:c r="H28" s="42" t="n">
        <x:f>IF(H15=0,"n.a.",H23/H15)</x:f>
        <x:v>266.5123654693604</x:v>
      </x:c>
      <x:c r="I28" s="42" t="n">
        <x:f>IF(I15=0,"n.a.",I23/I15)</x:f>
        <x:v>269.53831567321754</x:v>
      </x:c>
      <x:c r="J28" s="42" t="n">
        <x:f>IF(J15=0,"n.a.",J23/J15)</x:f>
        <x:v>272.4766572723465</x:v>
      </x:c>
      <x:c r="K28" s="42" t="n">
        <x:f>IF(K15=0,"n.a.",K23/K15)</x:f>
        <x:v>275.33329166439637</x:v>
      </x:c>
      <x:c r="L28" s="42" t="n">
        <x:f>IF(L15=0,"n.a.",L23/L15)</x:f>
        <x:v>278.11395809290764</x:v>
      </x:c>
      <x:c r="M28" s="42" t="n">
        <x:f>IF(M15=0,"n.a.",M23/M15)</x:f>
        <x:v>280.82418310584944</x:v>
      </x:c>
      <x:c r="N28" s="42" t="n">
        <x:f>IF(N15=0,"n.a.",N23/N15)</x:f>
        <x:v>283.4692462142769</x:v>
      </x:c>
      <x:c r="O28" s="42" t="n">
        <x:f>IF(O15=0,"n.a.",O23/O15)</x:f>
        <x:v>286.05415841066025</x:v>
      </x:c>
      <x:c r="P28" s="42" t="n">
        <x:f>IF(P15=0,"n.a.",P23/P15)</x:f>
        <x:v>288.58365073626976</x:v>
      </x:c>
      <x:c r="Q28" s="42" t="n">
        <x:f>IF(Q15=0,"n.a.",Q23/Q15)</x:f>
        <x:v>291.06217056828837</x:v>
      </x:c>
      <x:c r="R28" s="42" t="n">
        <x:f>IF(R15=0,"n.a.",R23/R15)</x:f>
        <x:v>293.49388372181517</x:v>
      </x:c>
      <x:c r="S28" s="42" t="n">
        <x:f>IF(S15=0,"n.a.",S23/S15)</x:f>
        <x:v>295.8826808279642</x:v>
      </x:c>
      <x:c r="T28" s="42" t="n">
        <x:f>IF(T15=0,"n.a.",T23/T15)</x:f>
        <x:v>298.1813448837885</x:v>
      </x:c>
      <x:c r="U28" s="42" t="n">
        <x:f>IF(U15=0,"n.a.",U23/U15)</x:f>
        <x:v>300.4481280702554</x:v>
      </x:c>
      <x:c r="V28" s="42" t="n">
        <x:f>IF(V15=0,"n.a.",V23/V15)</x:f>
        <x:v>302.68599364264</x:v>
      </x:c>
      <x:c r="W28" s="42" t="n">
        <x:f>IF(W15=0,"n.a.",W23/W15)</x:f>
        <x:v>304.8976652150018</x:v>
      </x:c>
      <x:c r="X28" s="42" t="n">
        <x:f>IF(X15=0,"n.a.",X23/X15)</x:f>
        <x:v>307.0341113293412</x:v>
      </x:c>
      <x:c r="Y28" s="42" t="n">
        <x:f>IF(Y15=0,"n.a.",Y23/Y15)</x:f>
        <x:v>309.1535194806418</x:v>
      </x:c>
      <x:c r="Z28" s="42" t="n">
        <x:f>IF(Z15=0,"n.a.",Z23/Z15)</x:f>
        <x:v>311.2577325393816</x:v>
      </x:c>
      <x:c r="AA28" s="42" t="n">
        <x:f>IF(AA15=0,"n.a.",AA23/AA15)</x:f>
        <x:v>313.2973289476925</x:v>
      </x:c>
    </x:row>
    <x:row r="29" ht="21" customHeight="1">
      <x:c r="A29" s="1"/>
      <x:c r="B29" s="1"/>
      <x:c r="C29" s="56" t="str">
        <x:v>Original Dec-26 cohort retention</x:v>
      </x:c>
      <x:c r="D29" s="57" t="n">
        <x:f>'Cohorts'!D38</x:f>
        <x:v>0.9997750000000002</x:v>
      </x:c>
      <x:c r="E29" s="57" t="n">
        <x:f>'Cohorts'!E38</x:f>
        <x:v>0.9995500506250001</x:v>
      </x:c>
      <x:c r="F29" s="57" t="n">
        <x:f>'Cohorts'!F38</x:f>
        <x:v>0.9993251518636095</x:v>
      </x:c>
      <x:c r="G29" s="57" t="n">
        <x:f>'Cohorts'!G38</x:f>
        <x:v>0.9991003037044403</x:v>
      </x:c>
      <x:c r="H29" s="57" t="n">
        <x:f>'Cohorts'!H38</x:f>
        <x:v>0.9988755061361069</x:v>
      </x:c>
      <x:c r="I29" s="57" t="n">
        <x:f>'Cohorts'!I38</x:f>
        <x:v>0.9986507591472263</x:v>
      </x:c>
      <x:c r="J29" s="57" t="n">
        <x:f>'Cohorts'!J38</x:f>
        <x:v>0.9984260627264183</x:v>
      </x:c>
      <x:c r="K29" s="57" t="n">
        <x:f>'Cohorts'!K38</x:f>
        <x:v>0.998201416862305</x:v>
      </x:c>
      <x:c r="L29" s="57" t="n">
        <x:f>'Cohorts'!L38</x:f>
        <x:v>0.9979768215435112</x:v>
      </x:c>
      <x:c r="M29" s="57" t="n">
        <x:f>'Cohorts'!M38</x:f>
        <x:v>0.997752276758664</x:v>
      </x:c>
      <x:c r="N29" s="57" t="n">
        <x:f>'Cohorts'!N38</x:f>
        <x:v>0.9975277824963933</x:v>
      </x:c>
      <x:c r="O29" s="57" t="n">
        <x:f>'Cohorts'!O38</x:f>
        <x:v>0.9973033387453317</x:v>
      </x:c>
      <x:c r="P29" s="57" t="n">
        <x:f>'Cohorts'!P38</x:f>
        <x:v>0.997078945494114</x:v>
      </x:c>
      <x:c r="Q29" s="57" t="n">
        <x:f>'Cohorts'!Q38</x:f>
        <x:v>0.9968546027313779</x:v>
      </x:c>
      <x:c r="R29" s="57" t="n">
        <x:f>'Cohorts'!R38</x:f>
        <x:v>0.9966303104457636</x:v>
      </x:c>
      <x:c r="S29" s="57" t="n">
        <x:f>'Cohorts'!S38</x:f>
        <x:v>0.9964060686259135</x:v>
      </x:c>
      <x:c r="T29" s="57" t="n">
        <x:f>'Cohorts'!T38</x:f>
        <x:v>0.9961818772604727</x:v>
      </x:c>
      <x:c r="U29" s="57" t="n">
        <x:f>'Cohorts'!U38</x:f>
        <x:v>0.9959577363380892</x:v>
      </x:c>
      <x:c r="V29" s="57" t="n">
        <x:f>'Cohorts'!V38</x:f>
        <x:v>0.9957336458474131</x:v>
      </x:c>
      <x:c r="W29" s="57" t="n">
        <x:f>'Cohorts'!W38</x:f>
        <x:v>0.9955096057770976</x:v>
      </x:c>
      <x:c r="X29" s="57" t="n">
        <x:f>'Cohorts'!X38</x:f>
        <x:v>0.9952856161157979</x:v>
      </x:c>
      <x:c r="Y29" s="57" t="n">
        <x:f>'Cohorts'!Y38</x:f>
        <x:v>0.995061676852172</x:v>
      </x:c>
      <x:c r="Z29" s="57" t="n">
        <x:f>'Cohorts'!Z38</x:f>
        <x:v>0.9948377879748803</x:v>
      </x:c>
      <x:c r="AA29" s="57" t="n">
        <x:f>'Cohorts'!AA38</x:f>
        <x:v>0.9946139494725861</x:v>
      </x:c>
    </x:row>
    <x:row r="30" ht="21" customHeight="1">
      <x:c r="A30" s="1"/>
      <x:c r="B30" s="1"/>
      <x:c r="C30" s="56" t="str">
        <x:v>ARR growth vs 12 months earlier</x:v>
      </x:c>
      <x:c r="D30" s="58" t="str">
        <x:f>"n.a."</x:f>
        <x:v>n.a.</x:v>
      </x:c>
      <x:c r="E30" s="58" t="str">
        <x:f>"n.a."</x:f>
        <x:v>n.a.</x:v>
      </x:c>
      <x:c r="F30" s="58" t="str">
        <x:f>"n.a."</x:f>
        <x:v>n.a.</x:v>
      </x:c>
      <x:c r="G30" s="58" t="str">
        <x:f>"n.a."</x:f>
        <x:v>n.a.</x:v>
      </x:c>
      <x:c r="H30" s="58" t="str">
        <x:f>"n.a."</x:f>
        <x:v>n.a.</x:v>
      </x:c>
      <x:c r="I30" s="58" t="str">
        <x:f>"n.a."</x:f>
        <x:v>n.a.</x:v>
      </x:c>
      <x:c r="J30" s="58" t="str">
        <x:f>"n.a."</x:f>
        <x:v>n.a.</x:v>
      </x:c>
      <x:c r="K30" s="58" t="str">
        <x:f>"n.a."</x:f>
        <x:v>n.a.</x:v>
      </x:c>
      <x:c r="L30" s="58" t="str">
        <x:f>"n.a."</x:f>
        <x:v>n.a.</x:v>
      </x:c>
      <x:c r="M30" s="58" t="str">
        <x:f>"n.a."</x:f>
        <x:v>n.a.</x:v>
      </x:c>
      <x:c r="N30" s="58" t="str">
        <x:f>"n.a."</x:f>
        <x:v>n.a.</x:v>
      </x:c>
      <x:c r="O30" s="58" t="str">
        <x:f>"n.a."</x:f>
        <x:v>n.a.</x:v>
      </x:c>
      <x:c r="P30" s="58" t="n">
        <x:f>IF(D24=0,"n.a.",P24/D24-1)</x:f>
        <x:v>0.850489826900471</x:v>
      </x:c>
      <x:c r="Q30" s="58" t="n">
        <x:f>IF(E24=0,"n.a.",Q24/E24-1)</x:f>
        <x:v>0.8295780688643586</x:v>
      </x:c>
      <x:c r="R30" s="58" t="n">
        <x:f>IF(F24=0,"n.a.",R24/F24-1)</x:f>
        <x:v>0.8091733882742995</x:v>
      </x:c>
      <x:c r="S30" s="58" t="n">
        <x:f>IF(G24=0,"n.a.",S24/G24-1)</x:f>
        <x:v>0.7893189289692881</x:v>
      </x:c>
      <x:c r="T30" s="58" t="n">
        <x:f>IF(H24=0,"n.a.",T24/H24-1)</x:f>
        <x:v>0.7719875335123805</x:v>
      </x:c>
      <x:c r="U30" s="58" t="n">
        <x:f>IF(I24=0,"n.a.",U24/I24-1)</x:f>
        <x:v>0.7582226429875416</x:v>
      </x:c>
      <x:c r="V30" s="58" t="n">
        <x:f>IF(J24=0,"n.a.",V24/J24-1)</x:f>
        <x:v>0.7445157488537792</x:v>
      </x:c>
      <x:c r="W30" s="58" t="n">
        <x:f>IF(K24=0,"n.a.",W24/K24-1)</x:f>
        <x:v>0.7309248333291376</x:v>
      </x:c>
      <x:c r="X30" s="58" t="n">
        <x:f>IF(L24=0,"n.a.",X24/L24-1)</x:f>
        <x:v>0.7190974482489421</x:v>
      </x:c>
      <x:c r="Y30" s="58" t="n">
        <x:f>IF(M24=0,"n.a.",Y24/M24-1)</x:f>
        <x:v>0.7073200246671683</x:v>
      </x:c>
      <x:c r="Z30" s="58" t="n">
        <x:f>IF(N24=0,"n.a.",Z24/N24-1)</x:f>
        <x:v>0.6956351378787646</x:v>
      </x:c>
      <x:c r="AA30" s="58" t="n">
        <x:f>IF(O24=0,"n.a.",AA24/O24-1)</x:f>
        <x:v>0.6854722198235472</x:v>
      </x:c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</x:row>
    <x:row r="33" ht="21" customHeight="1">
      <x:c r="A33" s="1"/>
      <x:c r="B33" s="1"/>
      <x:c r="C33" s="1" t="str">
        <x:v>Customers are expected values; fractional churn is intentional.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</x:row>
    <x:row r="34" ht="21" customHeight="1">
      <x:c r="A34" s="1"/>
      <x:c r="B34" s="1"/>
      <x:c r="C34" s="1" t="str">
        <x:v>New additions are rounded down; full S&amp;M spending still flows to expense and CAC.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ht="21" customHeight="1">
      <x:c r="A35" s="1"/>
      <x:c r="B35" s="1"/>
      <x:c r="C35" s="1" t="str">
        <x:v>Revenue uses average beginning / ending MRR: changes occur evenly through each month.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</x:row>
    <x:row r="36" ht="21" customHeight="1">
      <x:c r="A36" s="1"/>
      <x:c r="B36" s="1"/>
      <x:c r="C36" s="1" t="str">
        <x:v>Churn removes beginning MRR pro rata. Expansion and contraction apply to retained MRR.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2" t="str">
        <x:v>Operating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3" t="str">
        <x:v>SIMULATED BUSINESS | 2027–2028 FORECAST | USD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 t="str">
        <x:v>Case selected:</x:v>
      </x:c>
      <x:c r="D5" s="5" t="str">
        <x:f>'Assumptions'!F5</x:f>
        <x:v>Base</x:v>
      </x:c>
      <x:c r="E5" s="6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0"/>
      <x:c r="D7" s="11" t="d">
        <x:v>2027-01-01T00:00:00.000Z</x:v>
      </x:c>
      <x:c r="E7" s="11" t="d">
        <x:v>2027-02-01T00:00:00.000Z</x:v>
      </x:c>
      <x:c r="F7" s="11" t="d">
        <x:v>2027-03-01T00:00:00.000Z</x:v>
      </x:c>
      <x:c r="G7" s="11" t="d">
        <x:v>2027-04-01T00:00:00.000Z</x:v>
      </x:c>
      <x:c r="H7" s="11" t="d">
        <x:v>2027-05-01T00:00:00.000Z</x:v>
      </x:c>
      <x:c r="I7" s="11" t="d">
        <x:v>2027-06-01T00:00:00.000Z</x:v>
      </x:c>
      <x:c r="J7" s="11" t="d">
        <x:v>2027-07-01T00:00:00.000Z</x:v>
      </x:c>
      <x:c r="K7" s="11" t="d">
        <x:v>2027-08-01T00:00:00.000Z</x:v>
      </x:c>
      <x:c r="L7" s="11" t="d">
        <x:v>2027-09-01T00:00:00.000Z</x:v>
      </x:c>
      <x:c r="M7" s="11" t="d">
        <x:v>2027-10-01T00:00:00.000Z</x:v>
      </x:c>
      <x:c r="N7" s="11" t="d">
        <x:v>2027-11-01T00:00:00.000Z</x:v>
      </x:c>
      <x:c r="O7" s="11" t="d">
        <x:v>2027-12-01T00:00:00.000Z</x:v>
      </x:c>
      <x:c r="P7" s="11" t="d">
        <x:v>2028-01-01T00:00:00.000Z</x:v>
      </x:c>
      <x:c r="Q7" s="11" t="d">
        <x:v>2028-02-01T00:00:00.000Z</x:v>
      </x:c>
      <x:c r="R7" s="11" t="d">
        <x:v>2028-03-01T00:00:00.000Z</x:v>
      </x:c>
      <x:c r="S7" s="11" t="d">
        <x:v>2028-04-01T00:00:00.000Z</x:v>
      </x:c>
      <x:c r="T7" s="11" t="d">
        <x:v>2028-05-01T00:00:00.000Z</x:v>
      </x:c>
      <x:c r="U7" s="11" t="d">
        <x:v>2028-06-01T00:00:00.000Z</x:v>
      </x:c>
      <x:c r="V7" s="11" t="d">
        <x:v>2028-07-01T00:00:00.000Z</x:v>
      </x:c>
      <x:c r="W7" s="11" t="d">
        <x:v>2028-08-01T00:00:00.000Z</x:v>
      </x:c>
      <x:c r="X7" s="11" t="d">
        <x:v>2028-09-01T00:00:00.000Z</x:v>
      </x:c>
      <x:c r="Y7" s="11" t="d">
        <x:v>2028-10-01T00:00:00.000Z</x:v>
      </x:c>
      <x:c r="Z7" s="11" t="d">
        <x:v>2028-11-01T00:00:00.000Z</x:v>
      </x:c>
      <x:c r="AA7" s="11" t="d">
        <x:v>2028-12-01T00:00:00.000Z</x:v>
      </x:c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21" customHeight="1">
      <x:c r="A9" s="1"/>
      <x:c r="B9" s="1"/>
      <x:c r="C9" s="1" t="str">
        <x:v>Subscription revenue</x:v>
      </x:c>
      <x:c r="D9" s="38" t="n">
        <x:f>'Revenue'!D25</x:f>
        <x:v>103113.75</x:v>
      </x:c>
      <x:c r="E9" s="38" t="n">
        <x:f>'Revenue'!E25</x:f>
        <x:v>109346.79940625</x:v>
      </x:c>
      <x:c r="F9" s="38" t="n">
        <x:f>'Revenue'!F25</x:f>
        <x:v>115716.45937638357</x:v>
      </x:c>
      <x:c r="G9" s="38" t="n">
        <x:f>'Revenue'!G25</x:f>
        <x:v>122348.7267000239</x:v>
      </x:c>
      <x:c r="H9" s="38" t="n">
        <x:f>'Revenue'!H25</x:f>
        <x:v>129244.57287557241</x:v>
      </x:c>
      <x:c r="I9" s="38" t="n">
        <x:f>'Revenue'!I25</x:f>
        <x:v>136278.71723901154</x:v>
      </x:c>
      <x:c r="J9" s="38" t="n">
        <x:f>'Revenue'!J25</x:f>
        <x:v>143451.91288878355</x:v>
      </x:c>
      <x:c r="K9" s="38" t="n">
        <x:f>'Revenue'!K25</x:f>
        <x:v>150891.17034135677</x:v>
      </x:c>
      <x:c r="L9" s="38" t="n">
        <x:f>'Revenue'!L25</x:f>
        <x:v>158597.47162047945</x:v>
      </x:c>
      <x:c r="M9" s="38" t="n">
        <x:f>'Revenue'!M25</x:f>
        <x:v>166571.80162579194</x:v>
      </x:c>
      <x:c r="N9" s="38" t="n">
        <x:f>'Revenue'!N25</x:f>
        <x:v>174815.1481403996</x:v>
      </x:c>
      <x:c r="O9" s="38" t="n">
        <x:f>'Revenue'!O25</x:f>
        <x:v>183328.50183846426</x:v>
      </x:c>
      <x:c r="P9" s="38" t="n">
        <x:f>'Revenue'!P25</x:f>
        <x:v>192112.85629281471</x:v>
      </x:c>
      <x:c r="Q9" s="38" t="n">
        <x:f>'Revenue'!Q25</x:f>
        <x:v>201169.2079825758</x:v>
      </x:c>
      <x:c r="R9" s="38" t="n">
        <x:f>'Revenue'!R25</x:f>
        <x:v>210498.55630081677</x:v>
      </x:c>
      <x:c r="S9" s="38" t="n">
        <x:f>'Revenue'!S25</x:f>
        <x:v>220101.90356221824</x:v>
      </x:c>
      <x:c r="T9" s="38" t="n">
        <x:f>'Revenue'!T25</x:f>
        <x:v>230109.31557441616</x:v>
      </x:c>
      <x:c r="U9" s="38" t="n">
        <x:f>'Revenue'!U25</x:f>
        <x:v>240522.02960089227</x:v>
      </x:c>
      <x:c r="V9" s="38" t="n">
        <x:f>'Revenue'!V25</x:f>
        <x:v>251212.22575089667</x:v>
      </x:c>
      <x:c r="W9" s="38" t="n">
        <x:f>'Revenue'!W25</x:f>
        <x:v>262180.9190329338</x:v>
      </x:c>
      <x:c r="X9" s="38" t="n">
        <x:f>'Revenue'!X25</x:f>
        <x:v>273559.22356735147</x:v>
      </x:c>
      <x:c r="Y9" s="38" t="n">
        <x:f>'Revenue'!Y25</x:f>
        <x:v>285348.39121528785</x:v>
      </x:c>
      <x:c r="Z9" s="38" t="n">
        <x:f>'Revenue'!Z25</x:f>
        <x:v>297419.58113423764</x:v>
      </x:c>
      <x:c r="AA9" s="38" t="n">
        <x:f>'Revenue'!AA25</x:f>
        <x:v>309904.6994544964</x:v>
      </x:c>
    </x:row>
    <x:row r="10" ht="21" customHeight="1">
      <x:c r="A10" s="1"/>
      <x:c r="B10" s="1"/>
      <x:c r="C10" s="56" t="str">
        <x:v>Gross margin</x:v>
      </x:c>
      <x:c r="D10" s="57" t="n">
        <x:f>'Assumptions'!D39</x:f>
        <x:v>0.8</x:v>
      </x:c>
      <x:c r="E10" s="57" t="n">
        <x:f>'Assumptions'!E39</x:f>
        <x:v>0.8</x:v>
      </x:c>
      <x:c r="F10" s="57" t="n">
        <x:f>'Assumptions'!F39</x:f>
        <x:v>0.8</x:v>
      </x:c>
      <x:c r="G10" s="57" t="n">
        <x:f>'Assumptions'!G39</x:f>
        <x:v>0.8</x:v>
      </x:c>
      <x:c r="H10" s="57" t="n">
        <x:f>'Assumptions'!H39</x:f>
        <x:v>0.8</x:v>
      </x:c>
      <x:c r="I10" s="57" t="n">
        <x:f>'Assumptions'!I39</x:f>
        <x:v>0.8</x:v>
      </x:c>
      <x:c r="J10" s="57" t="n">
        <x:f>'Assumptions'!J39</x:f>
        <x:v>0.8</x:v>
      </x:c>
      <x:c r="K10" s="57" t="n">
        <x:f>'Assumptions'!K39</x:f>
        <x:v>0.8</x:v>
      </x:c>
      <x:c r="L10" s="57" t="n">
        <x:f>'Assumptions'!L39</x:f>
        <x:v>0.8</x:v>
      </x:c>
      <x:c r="M10" s="57" t="n">
        <x:f>'Assumptions'!M39</x:f>
        <x:v>0.8</x:v>
      </x:c>
      <x:c r="N10" s="57" t="n">
        <x:f>'Assumptions'!N39</x:f>
        <x:v>0.8</x:v>
      </x:c>
      <x:c r="O10" s="57" t="n">
        <x:f>'Assumptions'!O39</x:f>
        <x:v>0.8</x:v>
      </x:c>
      <x:c r="P10" s="57" t="n">
        <x:f>'Assumptions'!P39</x:f>
        <x:v>0.8</x:v>
      </x:c>
      <x:c r="Q10" s="57" t="n">
        <x:f>'Assumptions'!Q39</x:f>
        <x:v>0.8</x:v>
      </x:c>
      <x:c r="R10" s="57" t="n">
        <x:f>'Assumptions'!R39</x:f>
        <x:v>0.8</x:v>
      </x:c>
      <x:c r="S10" s="57" t="n">
        <x:f>'Assumptions'!S39</x:f>
        <x:v>0.8</x:v>
      </x:c>
      <x:c r="T10" s="57" t="n">
        <x:f>'Assumptions'!T39</x:f>
        <x:v>0.8</x:v>
      </x:c>
      <x:c r="U10" s="57" t="n">
        <x:f>'Assumptions'!U39</x:f>
        <x:v>0.8</x:v>
      </x:c>
      <x:c r="V10" s="57" t="n">
        <x:f>'Assumptions'!V39</x:f>
        <x:v>0.8</x:v>
      </x:c>
      <x:c r="W10" s="57" t="n">
        <x:f>'Assumptions'!W39</x:f>
        <x:v>0.8</x:v>
      </x:c>
      <x:c r="X10" s="57" t="n">
        <x:f>'Assumptions'!X39</x:f>
        <x:v>0.8</x:v>
      </x:c>
      <x:c r="Y10" s="57" t="n">
        <x:f>'Assumptions'!Y39</x:f>
        <x:v>0.8</x:v>
      </x:c>
      <x:c r="Z10" s="57" t="n">
        <x:f>'Assumptions'!Z39</x:f>
        <x:v>0.8</x:v>
      </x:c>
      <x:c r="AA10" s="57" t="n">
        <x:f>'Assumptions'!AA39</x:f>
        <x:v>0.8</x:v>
      </x:c>
    </x:row>
    <x:row r="11" ht="21" customHeight="1">
      <x:c r="A11" s="1"/>
      <x:c r="B11" s="1"/>
      <x:c r="C11" s="1" t="str">
        <x:v>Cost of revenue</x:v>
      </x:c>
      <x:c r="D11" s="42" t="n">
        <x:f>D9*(1-D10)</x:f>
        <x:v>20622.749999999996</x:v>
      </x:c>
      <x:c r="E11" s="42" t="n">
        <x:f>E9*(1-E10)</x:f>
        <x:v>21869.359881249995</x:v>
      </x:c>
      <x:c r="F11" s="42" t="n">
        <x:f>F9*(1-F10)</x:f>
        <x:v>23143.29187527671</x:v>
      </x:c>
      <x:c r="G11" s="42" t="n">
        <x:f>G9*(1-G10)</x:f>
        <x:v>24469.745340004774</x:v>
      </x:c>
      <x:c r="H11" s="42" t="n">
        <x:f>H9*(1-H10)</x:f>
        <x:v>25848.914575114475</x:v>
      </x:c>
      <x:c r="I11" s="42" t="n">
        <x:f>I9*(1-I10)</x:f>
        <x:v>27255.743447802302</x:v>
      </x:c>
      <x:c r="J11" s="42" t="n">
        <x:f>J9*(1-J10)</x:f>
        <x:v>28690.382577756704</x:v>
      </x:c>
      <x:c r="K11" s="42" t="n">
        <x:f>K9*(1-K10)</x:f>
        <x:v>30178.234068271347</x:v>
      </x:c>
      <x:c r="L11" s="42" t="n">
        <x:f>L9*(1-L10)</x:f>
        <x:v>31719.494324095882</x:v>
      </x:c>
      <x:c r="M11" s="42" t="n">
        <x:f>M9*(1-M10)</x:f>
        <x:v>33314.36032515838</x:v>
      </x:c>
      <x:c r="N11" s="42" t="n">
        <x:f>N9*(1-N10)</x:f>
        <x:v>34963.029628079916</x:v>
      </x:c>
      <x:c r="O11" s="42" t="n">
        <x:f>O9*(1-O10)</x:f>
        <x:v>36665.70036769284</x:v>
      </x:c>
      <x:c r="P11" s="42" t="n">
        <x:f>P9*(1-P10)</x:f>
        <x:v>38422.57125856294</x:v>
      </x:c>
      <x:c r="Q11" s="42" t="n">
        <x:f>Q9*(1-Q10)</x:f>
        <x:v>40233.84159651515</x:v>
      </x:c>
      <x:c r="R11" s="42" t="n">
        <x:f>R9*(1-R10)</x:f>
        <x:v>42099.71126016334</x:v>
      </x:c>
      <x:c r="S11" s="42" t="n">
        <x:f>S9*(1-S10)</x:f>
        <x:v>44020.380712443635</x:v>
      </x:c>
      <x:c r="T11" s="42" t="n">
        <x:f>T9*(1-T10)</x:f>
        <x:v>46021.86311488322</x:v>
      </x:c>
      <x:c r="U11" s="42" t="n">
        <x:f>U9*(1-U10)</x:f>
        <x:v>48104.40592017845</x:v>
      </x:c>
      <x:c r="V11" s="42" t="n">
        <x:f>V9*(1-V10)</x:f>
        <x:v>50242.44515017932</x:v>
      </x:c>
      <x:c r="W11" s="42" t="n">
        <x:f>W9*(1-W10)</x:f>
        <x:v>52436.18380658674</x:v>
      </x:c>
      <x:c r="X11" s="42" t="n">
        <x:f>X9*(1-X10)</x:f>
        <x:v>54711.84471347028</x:v>
      </x:c>
      <x:c r="Y11" s="42" t="n">
        <x:f>Y9*(1-Y10)</x:f>
        <x:v>57069.678243057555</x:v>
      </x:c>
      <x:c r="Z11" s="42" t="n">
        <x:f>Z9*(1-Z10)</x:f>
        <x:v>59483.91622684751</x:v>
      </x:c>
      <x:c r="AA11" s="42" t="n">
        <x:f>AA9*(1-AA10)</x:f>
        <x:v>61980.939890899266</x:v>
      </x:c>
    </x:row>
    <x:row r="12" ht="21" customHeight="1">
      <x:c r="A12" s="1"/>
      <x:c r="B12" s="1"/>
      <x:c r="C12" s="19" t="str">
        <x:v>Gross profit</x:v>
      </x:c>
      <x:c r="D12" s="21" t="n">
        <x:f>D9-D11</x:f>
        <x:v>82491</x:v>
      </x:c>
      <x:c r="E12" s="21" t="n">
        <x:f>E9-E11</x:f>
        <x:v>87477.439525</x:v>
      </x:c>
      <x:c r="F12" s="21" t="n">
        <x:f>F9-F11</x:f>
        <x:v>92573.16750110686</x:v>
      </x:c>
      <x:c r="G12" s="21" t="n">
        <x:f>G9-G11</x:f>
        <x:v>97878.98136001913</x:v>
      </x:c>
      <x:c r="H12" s="21" t="n">
        <x:f>H9-H11</x:f>
        <x:v>103395.65830045793</x:v>
      </x:c>
      <x:c r="I12" s="21" t="n">
        <x:f>I9-I11</x:f>
        <x:v>109022.97379120924</x:v>
      </x:c>
      <x:c r="J12" s="21" t="n">
        <x:f>J9-J11</x:f>
        <x:v>114761.53031102684</x:v>
      </x:c>
      <x:c r="K12" s="21" t="n">
        <x:f>K9-K11</x:f>
        <x:v>120712.93627308542</x:v>
      </x:c>
      <x:c r="L12" s="21" t="n">
        <x:f>L9-L11</x:f>
        <x:v>126877.97729638357</x:v>
      </x:c>
      <x:c r="M12" s="21" t="n">
        <x:f>M9-M11</x:f>
        <x:v>133257.44130063357</x:v>
      </x:c>
      <x:c r="N12" s="21" t="n">
        <x:f>N9-N11</x:f>
        <x:v>139852.1185123197</x:v>
      </x:c>
      <x:c r="O12" s="21" t="n">
        <x:f>O9-O11</x:f>
        <x:v>146662.80147077143</x:v>
      </x:c>
      <x:c r="P12" s="21" t="n">
        <x:f>P9-P11</x:f>
        <x:v>153690.28503425178</x:v>
      </x:c>
      <x:c r="Q12" s="21" t="n">
        <x:f>Q9-Q11</x:f>
        <x:v>160935.36638606066</x:v>
      </x:c>
      <x:c r="R12" s="21" t="n">
        <x:f>R9-R11</x:f>
        <x:v>168398.84504065342</x:v>
      </x:c>
      <x:c r="S12" s="21" t="n">
        <x:f>S9-S11</x:f>
        <x:v>176081.5228497746</x:v>
      </x:c>
      <x:c r="T12" s="21" t="n">
        <x:f>T9-T11</x:f>
        <x:v>184087.45245953294</x:v>
      </x:c>
      <x:c r="U12" s="21" t="n">
        <x:f>U9-U11</x:f>
        <x:v>192417.62368071382</x:v>
      </x:c>
      <x:c r="V12" s="21" t="n">
        <x:f>V9-V11</x:f>
        <x:v>200969.78060071735</x:v>
      </x:c>
      <x:c r="W12" s="21" t="n">
        <x:f>W9-W11</x:f>
        <x:v>209744.73522634702</x:v>
      </x:c>
      <x:c r="X12" s="21" t="n">
        <x:f>X9-X11</x:f>
        <x:v>218847.37885388118</x:v>
      </x:c>
      <x:c r="Y12" s="21" t="n">
        <x:f>Y9-Y11</x:f>
        <x:v>228278.71297223028</x:v>
      </x:c>
      <x:c r="Z12" s="21" t="n">
        <x:f>Z9-Z11</x:f>
        <x:v>237935.66490739014</x:v>
      </x:c>
      <x:c r="AA12" s="21" t="n">
        <x:f>AA9-AA11</x:f>
        <x:v>247923.75956359712</x:v>
      </x:c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</x:row>
    <x:row r="14" ht="21" customHeight="1">
      <x:c r="A14" s="1"/>
      <x:c r="B14" s="1"/>
      <x:c r="C14" s="1" t="str">
        <x:v>Acquisition S&amp;M</x:v>
      </x:c>
      <x:c r="D14" s="38" t="n">
        <x:f>'Revenue'!D10</x:f>
        <x:v>45000</x:v>
      </x:c>
      <x:c r="E14" s="38" t="n">
        <x:f>'Revenue'!E10</x:f>
        <x:v>46350</x:v>
      </x:c>
      <x:c r="F14" s="38" t="n">
        <x:f>'Revenue'!F10</x:f>
        <x:v>47740.5</x:v>
      </x:c>
      <x:c r="G14" s="38" t="n">
        <x:f>'Revenue'!G10</x:f>
        <x:v>49172.715000000004</x:v>
      </x:c>
      <x:c r="H14" s="38" t="n">
        <x:f>'Revenue'!H10</x:f>
        <x:v>50647.89645000001</x:v>
      </x:c>
      <x:c r="I14" s="38" t="n">
        <x:f>'Revenue'!I10</x:f>
        <x:v>52167.3333435</x:v>
      </x:c>
      <x:c r="J14" s="38" t="n">
        <x:f>'Revenue'!J10</x:f>
        <x:v>53732.35334380501</x:v>
      </x:c>
      <x:c r="K14" s="38" t="n">
        <x:f>'Revenue'!K10</x:f>
        <x:v>55344.32394411916</x:v>
      </x:c>
      <x:c r="L14" s="38" t="n">
        <x:f>'Revenue'!L10</x:f>
        <x:v>57004.65366244274</x:v>
      </x:c>
      <x:c r="M14" s="38" t="n">
        <x:f>'Revenue'!M10</x:f>
        <x:v>58714.79327231602</x:v>
      </x:c>
      <x:c r="N14" s="38" t="n">
        <x:f>'Revenue'!N10</x:f>
        <x:v>60476.2370704855</x:v>
      </x:c>
      <x:c r="O14" s="38" t="n">
        <x:f>'Revenue'!O10</x:f>
        <x:v>62290.524182600064</x:v>
      </x:c>
      <x:c r="P14" s="38" t="n">
        <x:f>'Revenue'!P10</x:f>
        <x:v>64159.23990807807</x:v>
      </x:c>
      <x:c r="Q14" s="38" t="n">
        <x:f>'Revenue'!Q10</x:f>
        <x:v>66084.01710532041</x:v>
      </x:c>
      <x:c r="R14" s="38" t="n">
        <x:f>'Revenue'!R10</x:f>
        <x:v>68066.53761848004</x:v>
      </x:c>
      <x:c r="S14" s="38" t="n">
        <x:f>'Revenue'!S10</x:f>
        <x:v>70108.53374703442</x:v>
      </x:c>
      <x:c r="T14" s="38" t="n">
        <x:f>'Revenue'!T10</x:f>
        <x:v>72211.78975944547</x:v>
      </x:c>
      <x:c r="U14" s="38" t="n">
        <x:f>'Revenue'!U10</x:f>
        <x:v>74378.14345222883</x:v>
      </x:c>
      <x:c r="V14" s="38" t="n">
        <x:f>'Revenue'!V10</x:f>
        <x:v>76609.48775579571</x:v>
      </x:c>
      <x:c r="W14" s="38" t="n">
        <x:f>'Revenue'!W10</x:f>
        <x:v>78907.77238846957</x:v>
      </x:c>
      <x:c r="X14" s="38" t="n">
        <x:f>'Revenue'!X10</x:f>
        <x:v>81275.00556012367</x:v>
      </x:c>
      <x:c r="Y14" s="38" t="n">
        <x:f>'Revenue'!Y10</x:f>
        <x:v>83713.25572692737</x:v>
      </x:c>
      <x:c r="Z14" s="38" t="n">
        <x:f>'Revenue'!Z10</x:f>
        <x:v>86224.6533987352</x:v>
      </x:c>
      <x:c r="AA14" s="38" t="n">
        <x:f>'Revenue'!AA10</x:f>
        <x:v>88811.39300069727</x:v>
      </x:c>
    </x:row>
    <x:row r="15" ht="21" customHeight="1">
      <x:c r="A15" s="1"/>
      <x:c r="B15" s="1"/>
      <x:c r="C15" s="1" t="str">
        <x:v>R&amp;D expense</x:v>
      </x:c>
      <x:c r="D15" s="38" t="n">
        <x:f>'Assumptions'!D43</x:f>
        <x:v>28000</x:v>
      </x:c>
      <x:c r="E15" s="38" t="n">
        <x:f>'Assumptions'!E43</x:f>
        <x:v>28280</x:v>
      </x:c>
      <x:c r="F15" s="38" t="n">
        <x:f>'Assumptions'!F43</x:f>
        <x:v>28562.8</x:v>
      </x:c>
      <x:c r="G15" s="38" t="n">
        <x:f>'Assumptions'!G43</x:f>
        <x:v>28848.428000000004</x:v>
      </x:c>
      <x:c r="H15" s="38" t="n">
        <x:f>'Assumptions'!H43</x:f>
        <x:v>29136.91228</x:v>
      </x:c>
      <x:c r="I15" s="38" t="n">
        <x:f>'Assumptions'!I43</x:f>
        <x:v>29428.281402800003</x:v>
      </x:c>
      <x:c r="J15" s="38" t="n">
        <x:f>'Assumptions'!J43</x:f>
        <x:v>29722.564216828003</x:v>
      </x:c>
      <x:c r="K15" s="38" t="n">
        <x:f>'Assumptions'!K43</x:f>
        <x:v>30019.789858996282</x:v>
      </x:c>
      <x:c r="L15" s="38" t="n">
        <x:f>'Assumptions'!L43</x:f>
        <x:v>30319.987757586245</x:v>
      </x:c>
      <x:c r="M15" s="38" t="n">
        <x:f>'Assumptions'!M43</x:f>
        <x:v>30623.187635162103</x:v>
      </x:c>
      <x:c r="N15" s="38" t="n">
        <x:f>'Assumptions'!N43</x:f>
        <x:v>30929.419511513726</x:v>
      </x:c>
      <x:c r="O15" s="38" t="n">
        <x:f>'Assumptions'!O43</x:f>
        <x:v>31238.713706628863</x:v>
      </x:c>
      <x:c r="P15" s="38" t="n">
        <x:f>'Assumptions'!P43</x:f>
        <x:v>31551.100843695152</x:v>
      </x:c>
      <x:c r="Q15" s="38" t="n">
        <x:f>'Assumptions'!Q43</x:f>
        <x:v>31866.611852132108</x:v>
      </x:c>
      <x:c r="R15" s="38" t="n">
        <x:f>'Assumptions'!R43</x:f>
        <x:v>32185.27797065343</x:v>
      </x:c>
      <x:c r="S15" s="38" t="n">
        <x:f>'Assumptions'!S43</x:f>
        <x:v>32507.130750359964</x:v>
      </x:c>
      <x:c r="T15" s="38" t="n">
        <x:f>'Assumptions'!T43</x:f>
        <x:v>32832.202057863564</x:v>
      </x:c>
      <x:c r="U15" s="38" t="n">
        <x:f>'Assumptions'!U43</x:f>
        <x:v>33160.5240784422</x:v>
      </x:c>
      <x:c r="V15" s="38" t="n">
        <x:f>'Assumptions'!V43</x:f>
        <x:v>33492.129319226624</x:v>
      </x:c>
      <x:c r="W15" s="38" t="n">
        <x:f>'Assumptions'!W43</x:f>
        <x:v>33827.05061241888</x:v>
      </x:c>
      <x:c r="X15" s="38" t="n">
        <x:f>'Assumptions'!X43</x:f>
        <x:v>34165.32111854308</x:v>
      </x:c>
      <x:c r="Y15" s="38" t="n">
        <x:f>'Assumptions'!Y43</x:f>
        <x:v>34506.97432972851</x:v>
      </x:c>
      <x:c r="Z15" s="38" t="n">
        <x:f>'Assumptions'!Z43</x:f>
        <x:v>34852.04407302579</x:v>
      </x:c>
      <x:c r="AA15" s="38" t="n">
        <x:f>'Assumptions'!AA43</x:f>
        <x:v>35200.56451375605</x:v>
      </x:c>
    </x:row>
    <x:row r="16" ht="21" customHeight="1">
      <x:c r="A16" s="1"/>
      <x:c r="B16" s="1"/>
      <x:c r="C16" s="1" t="str">
        <x:v>G&amp;A expense</x:v>
      </x:c>
      <x:c r="D16" s="38" t="n">
        <x:f>'Assumptions'!D47</x:f>
        <x:v>18000</x:v>
      </x:c>
      <x:c r="E16" s="38" t="n">
        <x:f>'Assumptions'!E47</x:f>
        <x:v>18144</x:v>
      </x:c>
      <x:c r="F16" s="38" t="n">
        <x:f>'Assumptions'!F47</x:f>
        <x:v>18289.152000000002</x:v>
      </x:c>
      <x:c r="G16" s="38" t="n">
        <x:f>'Assumptions'!G47</x:f>
        <x:v>18435.465216</x:v>
      </x:c>
      <x:c r="H16" s="38" t="n">
        <x:f>'Assumptions'!H47</x:f>
        <x:v>18582.948937728</x:v>
      </x:c>
      <x:c r="I16" s="38" t="n">
        <x:f>'Assumptions'!I47</x:f>
        <x:v>18731.612529229827</x:v>
      </x:c>
      <x:c r="J16" s="38" t="n">
        <x:f>'Assumptions'!J47</x:f>
        <x:v>18881.46542946366</x:v>
      </x:c>
      <x:c r="K16" s="38" t="n">
        <x:f>'Assumptions'!K47</x:f>
        <x:v>19032.517152899374</x:v>
      </x:c>
      <x:c r="L16" s="38" t="n">
        <x:f>'Assumptions'!L47</x:f>
        <x:v>19184.77729012257</x:v>
      </x:c>
      <x:c r="M16" s="38" t="n">
        <x:f>'Assumptions'!M47</x:f>
        <x:v>19338.255508443548</x:v>
      </x:c>
      <x:c r="N16" s="38" t="n">
        <x:f>'Assumptions'!N47</x:f>
        <x:v>19492.961552511097</x:v>
      </x:c>
      <x:c r="O16" s="38" t="n">
        <x:f>'Assumptions'!O47</x:f>
        <x:v>19648.905244931186</x:v>
      </x:c>
      <x:c r="P16" s="38" t="n">
        <x:f>'Assumptions'!P47</x:f>
        <x:v>19806.096486890634</x:v>
      </x:c>
      <x:c r="Q16" s="38" t="n">
        <x:f>'Assumptions'!Q47</x:f>
        <x:v>19964.545258785758</x:v>
      </x:c>
      <x:c r="R16" s="38" t="n">
        <x:f>'Assumptions'!R47</x:f>
        <x:v>20124.26162085605</x:v>
      </x:c>
      <x:c r="S16" s="38" t="n">
        <x:f>'Assumptions'!S47</x:f>
        <x:v>20285.255713822895</x:v>
      </x:c>
      <x:c r="T16" s="38" t="n">
        <x:f>'Assumptions'!T47</x:f>
        <x:v>20447.53775953348</x:v>
      </x:c>
      <x:c r="U16" s="38" t="n">
        <x:f>'Assumptions'!U47</x:f>
        <x:v>20611.118061609748</x:v>
      </x:c>
      <x:c r="V16" s="38" t="n">
        <x:f>'Assumptions'!V47</x:f>
        <x:v>20776.007006102627</x:v>
      </x:c>
      <x:c r="W16" s="38" t="n">
        <x:f>'Assumptions'!W47</x:f>
        <x:v>20942.215062151445</x:v>
      </x:c>
      <x:c r="X16" s="38" t="n">
        <x:f>'Assumptions'!X47</x:f>
        <x:v>21109.752782648655</x:v>
      </x:c>
      <x:c r="Y16" s="38" t="n">
        <x:f>'Assumptions'!Y47</x:f>
        <x:v>21278.630804909848</x:v>
      </x:c>
      <x:c r="Z16" s="38" t="n">
        <x:f>'Assumptions'!Z47</x:f>
        <x:v>21448.859851349123</x:v>
      </x:c>
      <x:c r="AA16" s="38" t="n">
        <x:f>'Assumptions'!AA47</x:f>
        <x:v>21620.45073015992</x:v>
      </x:c>
    </x:row>
    <x:row r="17" ht="21" customHeight="1">
      <x:c r="A17" s="1"/>
      <x:c r="B17" s="1"/>
      <x:c r="C17" s="19" t="str">
        <x:v>Total operating expenses</x:v>
      </x:c>
      <x:c r="D17" s="21" t="n">
        <x:f>SUM(D14:D16)</x:f>
        <x:v>91000</x:v>
      </x:c>
      <x:c r="E17" s="21" t="n">
        <x:f>SUM(E14:E16)</x:f>
        <x:v>92774</x:v>
      </x:c>
      <x:c r="F17" s="21" t="n">
        <x:f>SUM(F14:F16)</x:f>
        <x:v>94592.452</x:v>
      </x:c>
      <x:c r="G17" s="21" t="n">
        <x:f>SUM(G14:G16)</x:f>
        <x:v>96456.60821600001</x:v>
      </x:c>
      <x:c r="H17" s="21" t="n">
        <x:f>SUM(H14:H16)</x:f>
        <x:v>98367.757667728</x:v>
      </x:c>
      <x:c r="I17" s="21" t="n">
        <x:f>SUM(I14:I16)</x:f>
        <x:v>100327.22727552983</x:v>
      </x:c>
      <x:c r="J17" s="21" t="n">
        <x:f>SUM(J14:J16)</x:f>
        <x:v>102336.38299009667</x:v>
      </x:c>
      <x:c r="K17" s="21" t="n">
        <x:f>SUM(K14:K16)</x:f>
        <x:v>104396.63095601482</x:v>
      </x:c>
      <x:c r="L17" s="21" t="n">
        <x:f>SUM(L14:L16)</x:f>
        <x:v>106509.41871015156</x:v>
      </x:c>
      <x:c r="M17" s="21" t="n">
        <x:f>SUM(M14:M16)</x:f>
        <x:v>108676.23641592167</x:v>
      </x:c>
      <x:c r="N17" s="21" t="n">
        <x:f>SUM(N14:N16)</x:f>
        <x:v>110898.61813451033</x:v>
      </x:c>
      <x:c r="O17" s="21" t="n">
        <x:f>SUM(O14:O16)</x:f>
        <x:v>113178.14313416011</x:v>
      </x:c>
      <x:c r="P17" s="21" t="n">
        <x:f>SUM(P14:P16)</x:f>
        <x:v>115516.43723866384</x:v>
      </x:c>
      <x:c r="Q17" s="21" t="n">
        <x:f>SUM(Q14:Q16)</x:f>
        <x:v>117915.17421623827</x:v>
      </x:c>
      <x:c r="R17" s="21" t="n">
        <x:f>SUM(R14:R16)</x:f>
        <x:v>120376.07720998953</x:v>
      </x:c>
      <x:c r="S17" s="21" t="n">
        <x:f>SUM(S14:S16)</x:f>
        <x:v>122900.92021121728</x:v>
      </x:c>
      <x:c r="T17" s="21" t="n">
        <x:f>SUM(T14:T16)</x:f>
        <x:v>125491.5295768425</x:v>
      </x:c>
      <x:c r="U17" s="21" t="n">
        <x:f>SUM(U14:U16)</x:f>
        <x:v>128149.78559228076</x:v>
      </x:c>
      <x:c r="V17" s="21" t="n">
        <x:f>SUM(V14:V16)</x:f>
        <x:v>130877.62408112496</x:v>
      </x:c>
      <x:c r="W17" s="21" t="n">
        <x:f>SUM(W14:W16)</x:f>
        <x:v>133677.0380630399</x:v>
      </x:c>
      <x:c r="X17" s="21" t="n">
        <x:f>SUM(X14:X16)</x:f>
        <x:v>136550.0794613154</x:v>
      </x:c>
      <x:c r="Y17" s="21" t="n">
        <x:f>SUM(Y14:Y16)</x:f>
        <x:v>139498.86086156574</x:v>
      </x:c>
      <x:c r="Z17" s="21" t="n">
        <x:f>SUM(Z14:Z16)</x:f>
        <x:v>142525.55732311012</x:v>
      </x:c>
      <x:c r="AA17" s="21" t="n">
        <x:f>SUM(AA14:AA16)</x:f>
        <x:v>145632.40824461324</x:v>
      </x:c>
    </x:row>
    <x:row r="18" ht="21" customHeight="1">
      <x:c r="A18" s="1"/>
      <x:c r="B18" s="1"/>
      <x:c r="C18" s="19" t="str">
        <x:v>EBITDA</x:v>
      </x:c>
      <x:c r="D18" s="21" t="n">
        <x:f>D12-D17</x:f>
        <x:v>-8509</x:v>
      </x:c>
      <x:c r="E18" s="21" t="n">
        <x:f>E12-E17</x:f>
        <x:v>-5296.560475000006</x:v>
      </x:c>
      <x:c r="F18" s="21" t="n">
        <x:f>F12-F17</x:f>
        <x:v>-2019.2844988931465</x:v>
      </x:c>
      <x:c r="G18" s="21" t="n">
        <x:f>G12-G17</x:f>
        <x:v>1422.3731440191186</x:v>
      </x:c>
      <x:c r="H18" s="21" t="n">
        <x:f>H12-H17</x:f>
        <x:v>5027.9006327299285</x:v>
      </x:c>
      <x:c r="I18" s="21" t="n">
        <x:f>I12-I17</x:f>
        <x:v>8695.746515679406</x:v>
      </x:c>
      <x:c r="J18" s="21" t="n">
        <x:f>J12-J17</x:f>
        <x:v>12425.147320930177</x:v>
      </x:c>
      <x:c r="K18" s="21" t="n">
        <x:f>K12-K17</x:f>
        <x:v>16316.305317070597</x:v>
      </x:c>
      <x:c r="L18" s="21" t="n">
        <x:f>L12-L17</x:f>
        <x:v>20368.558586232015</x:v>
      </x:c>
      <x:c r="M18" s="21" t="n">
        <x:f>M12-M17</x:f>
        <x:v>24581.2048847119</x:v>
      </x:c>
      <x:c r="N18" s="21" t="n">
        <x:f>N12-N17</x:f>
        <x:v>28953.500377809367</x:v>
      </x:c>
      <x:c r="O18" s="21" t="n">
        <x:f>O12-O17</x:f>
        <x:v>33484.65833661132</x:v>
      </x:c>
      <x:c r="P18" s="21" t="n">
        <x:f>P12-P17</x:f>
        <x:v>38173.847795587935</x:v>
      </x:c>
      <x:c r="Q18" s="21" t="n">
        <x:f>Q12-Q17</x:f>
        <x:v>43020.19216982239</x:v>
      </x:c>
      <x:c r="R18" s="21" t="n">
        <x:f>R12-R17</x:f>
        <x:v>48022.7678306639</x:v>
      </x:c>
      <x:c r="S18" s="21" t="n">
        <x:f>S12-S17</x:f>
        <x:v>53180.60263855732</x:v>
      </x:c>
      <x:c r="T18" s="21" t="n">
        <x:f>T12-T17</x:f>
        <x:v>58595.922882690444</x:v>
      </x:c>
      <x:c r="U18" s="21" t="n">
        <x:f>U12-U17</x:f>
        <x:v>64267.838088433055</x:v>
      </x:c>
      <x:c r="V18" s="21" t="n">
        <x:f>V12-V17</x:f>
        <x:v>70092.15651959239</x:v>
      </x:c>
      <x:c r="W18" s="21" t="n">
        <x:f>W12-W17</x:f>
        <x:v>76067.69716330714</x:v>
      </x:c>
      <x:c r="X18" s="21" t="n">
        <x:f>X12-X17</x:f>
        <x:v>82297.29939256576</x:v>
      </x:c>
      <x:c r="Y18" s="21" t="n">
        <x:f>Y12-Y17</x:f>
        <x:v>88779.85211066453</x:v>
      </x:c>
      <x:c r="Z18" s="21" t="n">
        <x:f>Z12-Z17</x:f>
        <x:v>95410.10758428002</x:v>
      </x:c>
      <x:c r="AA18" s="21" t="n">
        <x:f>AA12-AA17</x:f>
        <x:v>102291.35131898388</x:v>
      </x:c>
    </x:row>
    <x:row r="19" ht="21" customHeight="1">
      <x:c r="A19" s="1"/>
      <x:c r="B19" s="1"/>
      <x:c r="C19" s="56" t="str">
        <x:v>EBITDA margin</x:v>
      </x:c>
      <x:c r="D19" s="58" t="n">
        <x:f>IF(D9=0,"n.a.",D18/D9)</x:f>
        <x:v>-0.08252051738977585</x:v>
      </x:c>
      <x:c r="E19" s="58" t="n">
        <x:f>IF(E9=0,"n.a.",E18/E9)</x:f>
        <x:v>-0.0484381847823638</x:v>
      </x:c>
      <x:c r="F19" s="58" t="n">
        <x:f>IF(F9=0,"n.a.",F18/F9)</x:f>
        <x:v>-0.017450278981706036</x:v>
      </x:c>
      <x:c r="G19" s="58" t="n">
        <x:f>IF(G9=0,"n.a.",G18/G9)</x:f>
        <x:v>0.011625565564785244</x:v>
      </x:c>
      <x:c r="H19" s="58" t="n">
        <x:f>IF(H9=0,"n.a.",H18/H9)</x:f>
        <x:v>0.03890221864534643</x:v>
      </x:c>
      <x:c r="I19" s="58" t="n">
        <x:f>IF(I9=0,"n.a.",I18/I9)</x:f>
        <x:v>0.06380854393007257</x:v>
      </x:c>
      <x:c r="J19" s="58" t="n">
        <x:f>IF(J9=0,"n.a.",J18/J9)</x:f>
        <x:v>0.08661541746441008</x:v>
      </x:c>
      <x:c r="K19" s="58" t="n">
        <x:f>IF(K9=0,"n.a.",K18/K9)</x:f>
        <x:v>0.10813293634185941</x:v>
      </x:c>
      <x:c r="L19" s="58" t="n">
        <x:f>IF(L9=0,"n.a.",L18/L9)</x:f>
        <x:v>0.12842927682336303</x:v>
      </x:c>
      <x:c r="M19" s="58" t="n">
        <x:f>IF(M9=0,"n.a.",M18/M9)</x:f>
        <x:v>0.14757122541025428</x:v>
      </x:c>
      <x:c r="N19" s="58" t="n">
        <x:f>IF(N9=0,"n.a.",N18/N9)</x:f>
        <x:v>0.16562352110674008</x:v>
      </x:c>
      <x:c r="O19" s="58" t="n">
        <x:f>IF(O9=0,"n.a.",O18/O9)</x:f>
        <x:v>0.18264840437149027</x:v>
      </x:c>
      <x:c r="P19" s="58" t="n">
        <x:f>IF(P9=0,"n.a.",P18/P9)</x:f>
        <x:v>0.1987053262973931</x:v>
      </x:c>
      <x:c r="Q19" s="58" t="n">
        <x:f>IF(Q9=0,"n.a.",Q18/Q9)</x:f>
        <x:v>0.21385078065003152</x:v>
      </x:c>
      <x:c r="R19" s="58" t="n">
        <x:f>IF(R9=0,"n.a.",R18/R9)</x:f>
        <x:v>0.22813822894840236</x:v>
      </x:c>
      <x:c r="S19" s="58" t="n">
        <x:f>IF(S9=0,"n.a.",S18/S9)</x:f>
        <x:v>0.24161809497265102</x:v>
      </x:c>
      <x:c r="T19" s="58" t="n">
        <x:f>IF(T9=0,"n.a.",T18/T9)</x:f>
        <x:v>0.25464385366763137</x:v>
      </x:c>
      <x:c r="U19" s="58" t="n">
        <x:f>IF(U9=0,"n.a.",U18/U9)</x:f>
        <x:v>0.2672014625648853</x:v>
      </x:c>
      <x:c r="V19" s="58" t="n">
        <x:f>IF(V9=0,"n.a.",V18/V9)</x:f>
        <x:v>0.27901570598357794</x:v>
      </x:c>
      <x:c r="W19" s="58" t="n">
        <x:f>IF(W9=0,"n.a.",W18/W9)</x:f>
        <x:v>0.2901343753156648</x:v>
      </x:c>
      <x:c r="X19" s="58" t="n">
        <x:f>IF(X9=0,"n.a.",X18/X9)</x:f>
        <x:v>0.30083905897731067</x:v>
      </x:c>
      <x:c r="Y19" s="58" t="n">
        <x:f>IF(Y9=0,"n.a.",Y18/Y9)</x:f>
        <x:v>0.3111279223708063</x:v>
      </x:c>
      <x:c r="Z19" s="58" t="n">
        <x:f>IF(Z9=0,"n.a.",Z18/Z9)</x:f>
        <x:v>0.3207929592948271</x:v>
      </x:c>
      <x:c r="AA19" s="58" t="n">
        <x:f>IF(AA9=0,"n.a.",AA18/AA9)</x:f>
        <x:v>0.3300735726145496</x:v>
      </x:c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</x:row>
    <x:row r="21" ht="21" customHeight="1">
      <x:c r="A21" s="1"/>
      <x:c r="B21" s="1"/>
      <x:c r="C21" s="1" t="str">
        <x:v>Beginning cash</x:v>
      </x:c>
      <x:c r="D21" s="38" t="n">
        <x:f>'Assumptions'!$D$11</x:f>
        <x:v>450000</x:v>
      </x:c>
      <x:c r="E21" s="42" t="n">
        <x:f>D24</x:f>
        <x:v>436491</x:v>
      </x:c>
      <x:c r="F21" s="42" t="n">
        <x:f>E24</x:f>
        <x:v>426194.439525</x:v>
      </x:c>
      <x:c r="G21" s="42" t="n">
        <x:f>F24</x:f>
        <x:v>419175.15502610686</x:v>
      </x:c>
      <x:c r="H21" s="42" t="n">
        <x:f>G24</x:f>
        <x:v>415597.52817012597</x:v>
      </x:c>
      <x:c r="I21" s="42" t="n">
        <x:f>H24</x:f>
        <x:v>415625.4288028559</x:v>
      </x:c>
      <x:c r="J21" s="42" t="n">
        <x:f>I24</x:f>
        <x:v>419321.1753185353</x:v>
      </x:c>
      <x:c r="K21" s="42" t="n">
        <x:f>J24</x:f>
        <x:v>426746.32263946545</x:v>
      </x:c>
      <x:c r="L21" s="42" t="n">
        <x:f>K24</x:f>
        <x:v>438062.627956536</x:v>
      </x:c>
      <x:c r="M21" s="42" t="n">
        <x:f>L24</x:f>
        <x:v>453431.18654276803</x:v>
      </x:c>
      <x:c r="N21" s="42" t="n">
        <x:f>M24</x:f>
        <x:v>473012.3914274799</x:v>
      </x:c>
      <x:c r="O21" s="42" t="n">
        <x:f>N24</x:f>
        <x:v>496965.8918052893</x:v>
      </x:c>
      <x:c r="P21" s="42" t="n">
        <x:f>O24</x:f>
        <x:v>525450.5501419007</x:v>
      </x:c>
      <x:c r="Q21" s="42" t="n">
        <x:f>P24</x:f>
        <x:v>558624.3979374886</x:v>
      </x:c>
      <x:c r="R21" s="42" t="n">
        <x:f>Q24</x:f>
        <x:v>596644.590107311</x:v>
      </x:c>
      <x:c r="S21" s="42" t="n">
        <x:f>R24</x:f>
        <x:v>639667.357937975</x:v>
      </x:c>
      <x:c r="T21" s="42" t="n">
        <x:f>S24</x:f>
        <x:v>687847.9605765323</x:v>
      </x:c>
      <x:c r="U21" s="42" t="n">
        <x:f>T24</x:f>
        <x:v>741443.8834592227</x:v>
      </x:c>
      <x:c r="V21" s="42" t="n">
        <x:f>U24</x:f>
        <x:v>800711.7215476558</x:v>
      </x:c>
      <x:c r="W21" s="42" t="n">
        <x:f>V24</x:f>
        <x:v>865803.8780672482</x:v>
      </x:c>
      <x:c r="X21" s="42" t="n">
        <x:f>W24</x:f>
        <x:v>936871.5752305553</x:v>
      </x:c>
      <x:c r="Y21" s="42" t="n">
        <x:f>X24</x:f>
        <x:v>1014168.874623121</x:v>
      </x:c>
      <x:c r="Z21" s="42" t="n">
        <x:f>Y24</x:f>
        <x:v>1097948.7267337856</x:v>
      </x:c>
      <x:c r="AA21" s="42" t="n">
        <x:f>Z24</x:f>
        <x:v>1188358.8343180656</x:v>
      </x:c>
    </x:row>
    <x:row r="22" ht="21" customHeight="1">
      <x:c r="A22" s="1"/>
      <x:c r="B22" s="1"/>
      <x:c r="C22" s="1" t="str">
        <x:v>Cash capex</x:v>
      </x:c>
      <x:c r="D22" s="38" t="n">
        <x:f>'Assumptions'!D51</x:f>
        <x:v>5000</x:v>
      </x:c>
      <x:c r="E22" s="38" t="n">
        <x:f>'Assumptions'!E51</x:f>
        <x:v>5000</x:v>
      </x:c>
      <x:c r="F22" s="38" t="n">
        <x:f>'Assumptions'!F51</x:f>
        <x:v>5000</x:v>
      </x:c>
      <x:c r="G22" s="38" t="n">
        <x:f>'Assumptions'!G51</x:f>
        <x:v>5000</x:v>
      </x:c>
      <x:c r="H22" s="38" t="n">
        <x:f>'Assumptions'!H51</x:f>
        <x:v>5000</x:v>
      </x:c>
      <x:c r="I22" s="38" t="n">
        <x:f>'Assumptions'!I51</x:f>
        <x:v>5000</x:v>
      </x:c>
      <x:c r="J22" s="38" t="n">
        <x:f>'Assumptions'!J51</x:f>
        <x:v>5000</x:v>
      </x:c>
      <x:c r="K22" s="38" t="n">
        <x:f>'Assumptions'!K51</x:f>
        <x:v>5000</x:v>
      </x:c>
      <x:c r="L22" s="38" t="n">
        <x:f>'Assumptions'!L51</x:f>
        <x:v>5000</x:v>
      </x:c>
      <x:c r="M22" s="38" t="n">
        <x:f>'Assumptions'!M51</x:f>
        <x:v>5000</x:v>
      </x:c>
      <x:c r="N22" s="38" t="n">
        <x:f>'Assumptions'!N51</x:f>
        <x:v>5000</x:v>
      </x:c>
      <x:c r="O22" s="38" t="n">
        <x:f>'Assumptions'!O51</x:f>
        <x:v>5000</x:v>
      </x:c>
      <x:c r="P22" s="38" t="n">
        <x:f>'Assumptions'!P51</x:f>
        <x:v>5000</x:v>
      </x:c>
      <x:c r="Q22" s="38" t="n">
        <x:f>'Assumptions'!Q51</x:f>
        <x:v>5000</x:v>
      </x:c>
      <x:c r="R22" s="38" t="n">
        <x:f>'Assumptions'!R51</x:f>
        <x:v>5000</x:v>
      </x:c>
      <x:c r="S22" s="38" t="n">
        <x:f>'Assumptions'!S51</x:f>
        <x:v>5000</x:v>
      </x:c>
      <x:c r="T22" s="38" t="n">
        <x:f>'Assumptions'!T51</x:f>
        <x:v>5000</x:v>
      </x:c>
      <x:c r="U22" s="38" t="n">
        <x:f>'Assumptions'!U51</x:f>
        <x:v>5000</x:v>
      </x:c>
      <x:c r="V22" s="38" t="n">
        <x:f>'Assumptions'!V51</x:f>
        <x:v>5000</x:v>
      </x:c>
      <x:c r="W22" s="38" t="n">
        <x:f>'Assumptions'!W51</x:f>
        <x:v>5000</x:v>
      </x:c>
      <x:c r="X22" s="38" t="n">
        <x:f>'Assumptions'!X51</x:f>
        <x:v>5000</x:v>
      </x:c>
      <x:c r="Y22" s="38" t="n">
        <x:f>'Assumptions'!Y51</x:f>
        <x:v>5000</x:v>
      </x:c>
      <x:c r="Z22" s="38" t="n">
        <x:f>'Assumptions'!Z51</x:f>
        <x:v>5000</x:v>
      </x:c>
      <x:c r="AA22" s="38" t="n">
        <x:f>'Assumptions'!AA51</x:f>
        <x:v>5000</x:v>
      </x:c>
    </x:row>
    <x:row r="23" ht="21" customHeight="1">
      <x:c r="A23" s="1"/>
      <x:c r="B23" s="1"/>
      <x:c r="C23" s="19" t="str">
        <x:v>Simplified free cash flow</x:v>
      </x:c>
      <x:c r="D23" s="21" t="n">
        <x:f>D18-D22</x:f>
        <x:v>-13509</x:v>
      </x:c>
      <x:c r="E23" s="21" t="n">
        <x:f>E18-E22</x:f>
        <x:v>-10296.560475000006</x:v>
      </x:c>
      <x:c r="F23" s="21" t="n">
        <x:f>F18-F22</x:f>
        <x:v>-7019.2844988931465</x:v>
      </x:c>
      <x:c r="G23" s="21" t="n">
        <x:f>G18-G22</x:f>
        <x:v>-3577.6268559808814</x:v>
      </x:c>
      <x:c r="H23" s="21" t="n">
        <x:f>H18-H22</x:f>
        <x:v>27.900632729928475</x:v>
      </x:c>
      <x:c r="I23" s="21" t="n">
        <x:f>I18-I22</x:f>
        <x:v>3695.746515679406</x:v>
      </x:c>
      <x:c r="J23" s="21" t="n">
        <x:f>J18-J22</x:f>
        <x:v>7425.147320930177</x:v>
      </x:c>
      <x:c r="K23" s="21" t="n">
        <x:f>K18-K22</x:f>
        <x:v>11316.305317070597</x:v>
      </x:c>
      <x:c r="L23" s="21" t="n">
        <x:f>L18-L22</x:f>
        <x:v>15368.558586232015</x:v>
      </x:c>
      <x:c r="M23" s="21" t="n">
        <x:f>M18-M22</x:f>
        <x:v>19581.2048847119</x:v>
      </x:c>
      <x:c r="N23" s="21" t="n">
        <x:f>N18-N22</x:f>
        <x:v>23953.500377809367</x:v>
      </x:c>
      <x:c r="O23" s="21" t="n">
        <x:f>O18-O22</x:f>
        <x:v>28484.65833661132</x:v>
      </x:c>
      <x:c r="P23" s="21" t="n">
        <x:f>P18-P22</x:f>
        <x:v>33173.847795587935</x:v>
      </x:c>
      <x:c r="Q23" s="21" t="n">
        <x:f>Q18-Q22</x:f>
        <x:v>38020.19216982239</x:v>
      </x:c>
      <x:c r="R23" s="21" t="n">
        <x:f>R18-R22</x:f>
        <x:v>43022.7678306639</x:v>
      </x:c>
      <x:c r="S23" s="21" t="n">
        <x:f>S18-S22</x:f>
        <x:v>48180.60263855732</x:v>
      </x:c>
      <x:c r="T23" s="21" t="n">
        <x:f>T18-T22</x:f>
        <x:v>53595.922882690444</x:v>
      </x:c>
      <x:c r="U23" s="21" t="n">
        <x:f>U18-U22</x:f>
        <x:v>59267.838088433055</x:v>
      </x:c>
      <x:c r="V23" s="21" t="n">
        <x:f>V18-V22</x:f>
        <x:v>65092.15651959239</x:v>
      </x:c>
      <x:c r="W23" s="21" t="n">
        <x:f>W18-W22</x:f>
        <x:v>71067.69716330714</x:v>
      </x:c>
      <x:c r="X23" s="21" t="n">
        <x:f>X18-X22</x:f>
        <x:v>77297.29939256576</x:v>
      </x:c>
      <x:c r="Y23" s="21" t="n">
        <x:f>Y18-Y22</x:f>
        <x:v>83779.85211066453</x:v>
      </x:c>
      <x:c r="Z23" s="21" t="n">
        <x:f>Z18-Z22</x:f>
        <x:v>90410.10758428002</x:v>
      </x:c>
      <x:c r="AA23" s="21" t="n">
        <x:f>AA18-AA22</x:f>
        <x:v>97291.35131898388</x:v>
      </x:c>
    </x:row>
    <x:row r="24" ht="21" customHeight="1">
      <x:c r="A24" s="1"/>
      <x:c r="B24" s="1"/>
      <x:c r="C24" s="19" t="str">
        <x:v>Ending cash</x:v>
      </x:c>
      <x:c r="D24" s="21" t="n">
        <x:f>D21+D23</x:f>
        <x:v>436491</x:v>
      </x:c>
      <x:c r="E24" s="21" t="n">
        <x:f>E21+E23</x:f>
        <x:v>426194.439525</x:v>
      </x:c>
      <x:c r="F24" s="21" t="n">
        <x:f>F21+F23</x:f>
        <x:v>419175.15502610686</x:v>
      </x:c>
      <x:c r="G24" s="21" t="n">
        <x:f>G21+G23</x:f>
        <x:v>415597.52817012597</x:v>
      </x:c>
      <x:c r="H24" s="21" t="n">
        <x:f>H21+H23</x:f>
        <x:v>415625.4288028559</x:v>
      </x:c>
      <x:c r="I24" s="21" t="n">
        <x:f>I21+I23</x:f>
        <x:v>419321.1753185353</x:v>
      </x:c>
      <x:c r="J24" s="21" t="n">
        <x:f>J21+J23</x:f>
        <x:v>426746.32263946545</x:v>
      </x:c>
      <x:c r="K24" s="21" t="n">
        <x:f>K21+K23</x:f>
        <x:v>438062.627956536</x:v>
      </x:c>
      <x:c r="L24" s="21" t="n">
        <x:f>L21+L23</x:f>
        <x:v>453431.18654276803</x:v>
      </x:c>
      <x:c r="M24" s="21" t="n">
        <x:f>M21+M23</x:f>
        <x:v>473012.3914274799</x:v>
      </x:c>
      <x:c r="N24" s="21" t="n">
        <x:f>N21+N23</x:f>
        <x:v>496965.8918052893</x:v>
      </x:c>
      <x:c r="O24" s="21" t="n">
        <x:f>O21+O23</x:f>
        <x:v>525450.5501419007</x:v>
      </x:c>
      <x:c r="P24" s="21" t="n">
        <x:f>P21+P23</x:f>
        <x:v>558624.3979374886</x:v>
      </x:c>
      <x:c r="Q24" s="21" t="n">
        <x:f>Q21+Q23</x:f>
        <x:v>596644.590107311</x:v>
      </x:c>
      <x:c r="R24" s="21" t="n">
        <x:f>R21+R23</x:f>
        <x:v>639667.357937975</x:v>
      </x:c>
      <x:c r="S24" s="21" t="n">
        <x:f>S21+S23</x:f>
        <x:v>687847.9605765323</x:v>
      </x:c>
      <x:c r="T24" s="21" t="n">
        <x:f>T21+T23</x:f>
        <x:v>741443.8834592227</x:v>
      </x:c>
      <x:c r="U24" s="21" t="n">
        <x:f>U21+U23</x:f>
        <x:v>800711.7215476558</x:v>
      </x:c>
      <x:c r="V24" s="21" t="n">
        <x:f>V21+V23</x:f>
        <x:v>865803.8780672482</x:v>
      </x:c>
      <x:c r="W24" s="21" t="n">
        <x:f>W21+W23</x:f>
        <x:v>936871.5752305553</x:v>
      </x:c>
      <x:c r="X24" s="21" t="n">
        <x:f>X21+X23</x:f>
        <x:v>1014168.874623121</x:v>
      </x:c>
      <x:c r="Y24" s="21" t="n">
        <x:f>Y21+Y23</x:f>
        <x:v>1097948.7267337856</x:v>
      </x:c>
      <x:c r="Z24" s="21" t="n">
        <x:f>Z21+Z23</x:f>
        <x:v>1188358.8343180656</x:v>
      </x:c>
      <x:c r="AA24" s="21" t="n">
        <x:f>AA21+AA23</x:f>
        <x:v>1285650.1856370494</x:v>
      </x:c>
    </x:row>
    <x:row r="25" ht="21" customHeight="1">
      <x:c r="A25" s="1"/>
      <x:c r="B25" s="1"/>
      <x:c r="C25" s="1" t="str">
        <x:v>Monthly cash burn (negative FCF)</x:v>
      </x:c>
      <x:c r="D25" s="42" t="n">
        <x:f>-D23</x:f>
        <x:v>13509</x:v>
      </x:c>
      <x:c r="E25" s="42" t="n">
        <x:f>-E23</x:f>
        <x:v>10296.560475000006</x:v>
      </x:c>
      <x:c r="F25" s="42" t="n">
        <x:f>-F23</x:f>
        <x:v>7019.2844988931465</x:v>
      </x:c>
      <x:c r="G25" s="42" t="n">
        <x:f>-G23</x:f>
        <x:v>3577.6268559808814</x:v>
      </x:c>
      <x:c r="H25" s="42" t="n">
        <x:f>-H23</x:f>
        <x:v>-27.900632729928475</x:v>
      </x:c>
      <x:c r="I25" s="42" t="n">
        <x:f>-I23</x:f>
        <x:v>-3695.746515679406</x:v>
      </x:c>
      <x:c r="J25" s="42" t="n">
        <x:f>-J23</x:f>
        <x:v>-7425.147320930177</x:v>
      </x:c>
      <x:c r="K25" s="42" t="n">
        <x:f>-K23</x:f>
        <x:v>-11316.305317070597</x:v>
      </x:c>
      <x:c r="L25" s="42" t="n">
        <x:f>-L23</x:f>
        <x:v>-15368.558586232015</x:v>
      </x:c>
      <x:c r="M25" s="42" t="n">
        <x:f>-M23</x:f>
        <x:v>-19581.2048847119</x:v>
      </x:c>
      <x:c r="N25" s="42" t="n">
        <x:f>-N23</x:f>
        <x:v>-23953.500377809367</x:v>
      </x:c>
      <x:c r="O25" s="42" t="n">
        <x:f>-O23</x:f>
        <x:v>-28484.65833661132</x:v>
      </x:c>
      <x:c r="P25" s="42" t="n">
        <x:f>-P23</x:f>
        <x:v>-33173.847795587935</x:v>
      </x:c>
      <x:c r="Q25" s="42" t="n">
        <x:f>-Q23</x:f>
        <x:v>-38020.19216982239</x:v>
      </x:c>
      <x:c r="R25" s="42" t="n">
        <x:f>-R23</x:f>
        <x:v>-43022.7678306639</x:v>
      </x:c>
      <x:c r="S25" s="42" t="n">
        <x:f>-S23</x:f>
        <x:v>-48180.60263855732</x:v>
      </x:c>
      <x:c r="T25" s="42" t="n">
        <x:f>-T23</x:f>
        <x:v>-53595.922882690444</x:v>
      </x:c>
      <x:c r="U25" s="42" t="n">
        <x:f>-U23</x:f>
        <x:v>-59267.838088433055</x:v>
      </x:c>
      <x:c r="V25" s="42" t="n">
        <x:f>-V23</x:f>
        <x:v>-65092.15651959239</x:v>
      </x:c>
      <x:c r="W25" s="42" t="n">
        <x:f>-W23</x:f>
        <x:v>-71067.69716330714</x:v>
      </x:c>
      <x:c r="X25" s="42" t="n">
        <x:f>-X23</x:f>
        <x:v>-77297.29939256576</x:v>
      </x:c>
      <x:c r="Y25" s="42" t="n">
        <x:f>-Y23</x:f>
        <x:v>-83779.85211066453</x:v>
      </x:c>
      <x:c r="Z25" s="42" t="n">
        <x:f>-Z23</x:f>
        <x:v>-90410.10758428002</x:v>
      </x:c>
      <x:c r="AA25" s="42" t="n">
        <x:f>-AA23</x:f>
        <x:v>-97291.35131898388</x:v>
      </x:c>
    </x:row>
    <x:row r="26" ht="21" customHeight="1">
      <x:c r="A26" s="1"/>
      <x:c r="B26" s="1"/>
      <x:c r="C26" s="56" t="str">
        <x:v>Runway at current monthly burn</x:v>
      </x:c>
      <x:c r="D26" s="59" t="n">
        <x:f>IF(D25&lt;=0,"n.a.",MAX(0,D24)/D25)</x:f>
        <x:v>32.311125916055964</x:v>
      </x:c>
      <x:c r="E26" s="59" t="n">
        <x:f>IF(E25&lt;=0,"n.a.",MAX(0,E24)/E25)</x:f>
        <x:v>41.39192311450002</x:v>
      </x:c>
      <x:c r="F26" s="59" t="n">
        <x:f>IF(F25&lt;=0,"n.a.",MAX(0,F24)/F25)</x:f>
        <x:v>59.71764716079047</x:v>
      </x:c>
      <x:c r="G26" s="59" t="n">
        <x:f>IF(G25&lt;=0,"n.a.",MAX(0,G24)/G25)</x:f>
        <x:v>116.16570002971459</x:v>
      </x:c>
      <x:c r="H26" s="59" t="str">
        <x:f>IF(H25&lt;=0,"n.a.",MAX(0,H24)/H25)</x:f>
        <x:v>n.a.</x:v>
      </x:c>
      <x:c r="I26" s="59" t="str">
        <x:f>IF(I25&lt;=0,"n.a.",MAX(0,I24)/I25)</x:f>
        <x:v>n.a.</x:v>
      </x:c>
      <x:c r="J26" s="59" t="str">
        <x:f>IF(J25&lt;=0,"n.a.",MAX(0,J24)/J25)</x:f>
        <x:v>n.a.</x:v>
      </x:c>
      <x:c r="K26" s="59" t="str">
        <x:f>IF(K25&lt;=0,"n.a.",MAX(0,K24)/K25)</x:f>
        <x:v>n.a.</x:v>
      </x:c>
      <x:c r="L26" s="59" t="str">
        <x:f>IF(L25&lt;=0,"n.a.",MAX(0,L24)/L25)</x:f>
        <x:v>n.a.</x:v>
      </x:c>
      <x:c r="M26" s="59" t="str">
        <x:f>IF(M25&lt;=0,"n.a.",MAX(0,M24)/M25)</x:f>
        <x:v>n.a.</x:v>
      </x:c>
      <x:c r="N26" s="59" t="str">
        <x:f>IF(N25&lt;=0,"n.a.",MAX(0,N24)/N25)</x:f>
        <x:v>n.a.</x:v>
      </x:c>
      <x:c r="O26" s="59" t="str">
        <x:f>IF(O25&lt;=0,"n.a.",MAX(0,O24)/O25)</x:f>
        <x:v>n.a.</x:v>
      </x:c>
      <x:c r="P26" s="59" t="str">
        <x:f>IF(P25&lt;=0,"n.a.",MAX(0,P24)/P25)</x:f>
        <x:v>n.a.</x:v>
      </x:c>
      <x:c r="Q26" s="59" t="str">
        <x:f>IF(Q25&lt;=0,"n.a.",MAX(0,Q24)/Q25)</x:f>
        <x:v>n.a.</x:v>
      </x:c>
      <x:c r="R26" s="59" t="str">
        <x:f>IF(R25&lt;=0,"n.a.",MAX(0,R24)/R25)</x:f>
        <x:v>n.a.</x:v>
      </x:c>
      <x:c r="S26" s="59" t="str">
        <x:f>IF(S25&lt;=0,"n.a.",MAX(0,S24)/S25)</x:f>
        <x:v>n.a.</x:v>
      </x:c>
      <x:c r="T26" s="59" t="str">
        <x:f>IF(T25&lt;=0,"n.a.",MAX(0,T24)/T25)</x:f>
        <x:v>n.a.</x:v>
      </x:c>
      <x:c r="U26" s="59" t="str">
        <x:f>IF(U25&lt;=0,"n.a.",MAX(0,U24)/U25)</x:f>
        <x:v>n.a.</x:v>
      </x:c>
      <x:c r="V26" s="59" t="str">
        <x:f>IF(V25&lt;=0,"n.a.",MAX(0,V24)/V25)</x:f>
        <x:v>n.a.</x:v>
      </x:c>
      <x:c r="W26" s="59" t="str">
        <x:f>IF(W25&lt;=0,"n.a.",MAX(0,W24)/W25)</x:f>
        <x:v>n.a.</x:v>
      </x:c>
      <x:c r="X26" s="59" t="str">
        <x:f>IF(X25&lt;=0,"n.a.",MAX(0,X24)/X25)</x:f>
        <x:v>n.a.</x:v>
      </x:c>
      <x:c r="Y26" s="59" t="str">
        <x:f>IF(Y25&lt;=0,"n.a.",MAX(0,Y24)/Y25)</x:f>
        <x:v>n.a.</x:v>
      </x:c>
      <x:c r="Z26" s="59" t="str">
        <x:f>IF(Z25&lt;=0,"n.a.",MAX(0,Z24)/Z25)</x:f>
        <x:v>n.a.</x:v>
      </x:c>
      <x:c r="AA26" s="59" t="str">
        <x:f>IF(AA25&lt;=0,"n.a.",MAX(0,AA24)/AA25)</x:f>
        <x:v>n.a.</x:v>
      </x:c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</x:row>
    <x:row r="28" ht="21" customHeight="1">
      <x:c r="A28" s="1"/>
      <x:c r="B28" s="1"/>
      <x:c r="C28" s="1" t="str">
        <x:v>Realized CAC ($ / new customer)</x:v>
      </x:c>
      <x:c r="D28" s="38" t="n">
        <x:f>IF('Revenue'!D12=0,"n.a.",D14/'Revenue'!D12)</x:f>
        <x:v>1800</x:v>
      </x:c>
      <x:c r="E28" s="38" t="n">
        <x:f>IF('Revenue'!E12=0,"n.a.",E14/'Revenue'!E12)</x:f>
        <x:v>1854</x:v>
      </x:c>
      <x:c r="F28" s="38" t="n">
        <x:f>IF('Revenue'!F12=0,"n.a.",F14/'Revenue'!F12)</x:f>
        <x:v>1836.173076923077</x:v>
      </x:c>
      <x:c r="G28" s="38" t="n">
        <x:f>IF('Revenue'!G12=0,"n.a.",G14/'Revenue'!G12)</x:f>
        <x:v>1821.2116666666668</x:v>
      </x:c>
      <x:c r="H28" s="38" t="n">
        <x:f>IF('Revenue'!H12=0,"n.a.",H14/'Revenue'!H12)</x:f>
        <x:v>1808.8534446428573</x:v>
      </x:c>
      <x:c r="I28" s="38" t="n">
        <x:f>IF('Revenue'!I12=0,"n.a.",I14/'Revenue'!I12)</x:f>
        <x:v>1863.119047982143</x:v>
      </x:c>
      <x:c r="J28" s="38" t="n">
        <x:f>IF('Revenue'!J12=0,"n.a.",J14/'Revenue'!J12)</x:f>
        <x:v>1852.8397704760348</x:v>
      </x:c>
      <x:c r="K28" s="38" t="n">
        <x:f>IF('Revenue'!K12=0,"n.a.",K14/'Revenue'!K12)</x:f>
        <x:v>1844.8107981373055</x:v>
      </x:c>
      <x:c r="L28" s="38" t="n">
        <x:f>IF('Revenue'!L12=0,"n.a.",L14/'Revenue'!L12)</x:f>
        <x:v>1838.859795562669</x:v>
      </x:c>
      <x:c r="M28" s="38" t="n">
        <x:f>IF('Revenue'!M12=0,"n.a.",M14/'Revenue'!M12)</x:f>
        <x:v>1834.8372897598756</x:v>
      </x:c>
      <x:c r="N28" s="38" t="n">
        <x:f>IF('Revenue'!N12=0,"n.a.",N14/'Revenue'!N12)</x:f>
        <x:v>1832.6132445601665</x:v>
      </x:c>
      <x:c r="O28" s="38" t="n">
        <x:f>IF('Revenue'!O12=0,"n.a.",O14/'Revenue'!O12)</x:f>
        <x:v>1832.0742406647078</x:v>
      </x:c>
      <x:c r="P28" s="38" t="n">
        <x:f>IF('Revenue'!P12=0,"n.a.",P14/'Revenue'!P12)</x:f>
        <x:v>1833.121140230802</x:v>
      </x:c>
      <x:c r="Q28" s="38" t="n">
        <x:f>IF('Revenue'!Q12=0,"n.a.",Q14/'Revenue'!Q12)</x:f>
        <x:v>1835.6671418144558</x:v>
      </x:c>
      <x:c r="R28" s="38" t="n">
        <x:f>IF('Revenue'!R12=0,"n.a.",R14/'Revenue'!R12)</x:f>
        <x:v>1839.636151850812</x:v>
      </x:c>
      <x:c r="S28" s="38" t="n">
        <x:f>IF('Revenue'!S12=0,"n.a.",S14/'Revenue'!S12)</x:f>
        <x:v>1844.9614143956428</x:v>
      </x:c>
      <x:c r="T28" s="38" t="n">
        <x:f>IF('Revenue'!T12=0,"n.a.",T14/'Revenue'!T12)</x:f>
        <x:v>1805.2947439861368</x:v>
      </x:c>
      <x:c r="U28" s="38" t="n">
        <x:f>IF('Revenue'!U12=0,"n.a.",U14/'Revenue'!U12)</x:f>
        <x:v>1814.1010598104594</x:v>
      </x:c>
      <x:c r="V28" s="38" t="n">
        <x:f>IF('Revenue'!V12=0,"n.a.",V14/'Revenue'!V12)</x:f>
        <x:v>1824.0354227570406</x:v>
      </x:c>
      <x:c r="W28" s="38" t="n">
        <x:f>IF('Revenue'!W12=0,"n.a.",W14/'Revenue'!W12)</x:f>
        <x:v>1835.0644741504552</x:v>
      </x:c>
      <x:c r="X28" s="38" t="n">
        <x:f>IF('Revenue'!X12=0,"n.a.",X14/'Revenue'!X12)</x:f>
        <x:v>1806.111234669415</x:v>
      </x:c>
      <x:c r="Y28" s="38" t="n">
        <x:f>IF('Revenue'!Y12=0,"n.a.",Y14/'Revenue'!Y12)</x:f>
        <x:v>1819.8533853679862</x:v>
      </x:c>
      <x:c r="Z28" s="38" t="n">
        <x:f>IF('Revenue'!Z12=0,"n.a.",Z14/'Revenue'!Z12)</x:f>
        <x:v>1834.5670935901107</x:v>
      </x:c>
      <x:c r="AA28" s="38" t="n">
        <x:f>IF('Revenue'!AA12=0,"n.a.",AA14/'Revenue'!AA12)</x:f>
        <x:v>1812.4774081774951</x:v>
      </x:c>
    </x:row>
    <x:row r="29" ht="21" customHeight="1">
      <x:c r="A29" s="1"/>
      <x:c r="B29" s="1"/>
      <x:c r="C29" s="1" t="str">
        <x:v>New customer monthly ARPA</x:v>
      </x:c>
      <x:c r="D29" s="38" t="n">
        <x:f>'Assumptions'!D23</x:f>
        <x:v>250</x:v>
      </x:c>
      <x:c r="E29" s="38" t="n">
        <x:f>'Assumptions'!E23</x:f>
        <x:v>250.5</x:v>
      </x:c>
      <x:c r="F29" s="38" t="n">
        <x:f>'Assumptions'!F23</x:f>
        <x:v>251.00099999999998</x:v>
      </x:c>
      <x:c r="G29" s="38" t="n">
        <x:f>'Assumptions'!G23</x:f>
        <x:v>251.50300199999998</x:v>
      </x:c>
      <x:c r="H29" s="38" t="n">
        <x:f>'Assumptions'!H23</x:f>
        <x:v>252.00600800400002</x:v>
      </x:c>
      <x:c r="I29" s="38" t="n">
        <x:f>'Assumptions'!I23</x:f>
        <x:v>252.510020020008</x:v>
      </x:c>
      <x:c r="J29" s="38" t="n">
        <x:f>'Assumptions'!J23</x:f>
        <x:v>253.015040060048</x:v>
      </x:c>
      <x:c r="K29" s="38" t="n">
        <x:f>'Assumptions'!K23</x:f>
        <x:v>253.52107014016812</x:v>
      </x:c>
      <x:c r="L29" s="38" t="n">
        <x:f>'Assumptions'!L23</x:f>
        <x:v>254.02811228044848</x:v>
      </x:c>
      <x:c r="M29" s="38" t="n">
        <x:f>'Assumptions'!M23</x:f>
        <x:v>254.53616850500939</x:v>
      </x:c>
      <x:c r="N29" s="38" t="n">
        <x:f>'Assumptions'!N23</x:f>
        <x:v>255.04524084201935</x:v>
      </x:c>
      <x:c r="O29" s="38" t="n">
        <x:f>'Assumptions'!O23</x:f>
        <x:v>255.5553313237034</x:v>
      </x:c>
      <x:c r="P29" s="38" t="n">
        <x:f>'Assumptions'!P23</x:f>
        <x:v>256.0664419863508</x:v>
      </x:c>
      <x:c r="Q29" s="38" t="n">
        <x:f>'Assumptions'!Q23</x:f>
        <x:v>256.57857487032356</x:v>
      </x:c>
      <x:c r="R29" s="38" t="n">
        <x:f>'Assumptions'!R23</x:f>
        <x:v>257.09173202006417</x:v>
      </x:c>
      <x:c r="S29" s="38" t="n">
        <x:f>'Assumptions'!S23</x:f>
        <x:v>257.6059154841043</x:v>
      </x:c>
      <x:c r="T29" s="38" t="n">
        <x:f>'Assumptions'!T23</x:f>
        <x:v>258.12112731507256</x:v>
      </x:c>
      <x:c r="U29" s="38" t="n">
        <x:f>'Assumptions'!U23</x:f>
        <x:v>258.6373695697026</x:v>
      </x:c>
      <x:c r="V29" s="38" t="n">
        <x:f>'Assumptions'!V23</x:f>
        <x:v>259.1546443088421</x:v>
      </x:c>
      <x:c r="W29" s="38" t="n">
        <x:f>'Assumptions'!W23</x:f>
        <x:v>259.67295359745975</x:v>
      </x:c>
      <x:c r="X29" s="38" t="n">
        <x:f>'Assumptions'!X23</x:f>
        <x:v>260.19229950465467</x:v>
      </x:c>
      <x:c r="Y29" s="38" t="n">
        <x:f>'Assumptions'!Y23</x:f>
        <x:v>260.712684103664</x:v>
      </x:c>
      <x:c r="Z29" s="38" t="n">
        <x:f>'Assumptions'!Z23</x:f>
        <x:v>261.2341094718713</x:v>
      </x:c>
      <x:c r="AA29" s="38" t="n">
        <x:f>'Assumptions'!AA23</x:f>
        <x:v>261.75657769081505</x:v>
      </x:c>
    </x:row>
    <x:row r="30" ht="21" customHeight="1">
      <x:c r="A30" s="1"/>
      <x:c r="B30" s="1"/>
      <x:c r="C30" s="1" t="str">
        <x:v>Gross-profit LTV proxy</x:v>
      </x:c>
      <x:c r="D30" s="38" t="n">
        <x:f>IF('Revenue'!D13=0,"n.a.",D29*D10/'Revenue'!D13)</x:f>
        <x:v>13333.333333333334</x:v>
      </x:c>
      <x:c r="E30" s="38" t="n">
        <x:f>IF('Revenue'!E13=0,"n.a.",E29*E10/'Revenue'!E13)</x:f>
        <x:v>13360</x:v>
      </x:c>
      <x:c r="F30" s="38" t="n">
        <x:f>IF('Revenue'!F13=0,"n.a.",F29*F10/'Revenue'!F13)</x:f>
        <x:v>13386.72</x:v>
      </x:c>
      <x:c r="G30" s="38" t="n">
        <x:f>IF('Revenue'!G13=0,"n.a.",G29*G10/'Revenue'!G13)</x:f>
        <x:v>13413.49344</x:v>
      </x:c>
      <x:c r="H30" s="38" t="n">
        <x:f>IF('Revenue'!H13=0,"n.a.",H29*H10/'Revenue'!H13)</x:f>
        <x:v>13440.320426880002</x:v>
      </x:c>
      <x:c r="I30" s="38" t="n">
        <x:f>IF('Revenue'!I13=0,"n.a.",I29*I10/'Revenue'!I13)</x:f>
        <x:v>13467.201067733762</x:v>
      </x:c>
      <x:c r="J30" s="38" t="n">
        <x:f>IF('Revenue'!J13=0,"n.a.",J29*J10/'Revenue'!J13)</x:f>
        <x:v>13494.135469869228</x:v>
      </x:c>
      <x:c r="K30" s="38" t="n">
        <x:f>IF('Revenue'!K13=0,"n.a.",K29*K10/'Revenue'!K13)</x:f>
        <x:v>13521.123740808967</x:v>
      </x:c>
      <x:c r="L30" s="38" t="n">
        <x:f>IF('Revenue'!L13=0,"n.a.",L29*L10/'Revenue'!L13)</x:f>
        <x:v>13548.165988290588</x:v>
      </x:c>
      <x:c r="M30" s="38" t="n">
        <x:f>IF('Revenue'!M13=0,"n.a.",M29*M10/'Revenue'!M13)</x:f>
        <x:v>13575.262320267168</x:v>
      </x:c>
      <x:c r="N30" s="38" t="n">
        <x:f>IF('Revenue'!N13=0,"n.a.",N29*N10/'Revenue'!N13)</x:f>
        <x:v>13602.4128449077</x:v>
      </x:c>
      <x:c r="O30" s="38" t="n">
        <x:f>IF('Revenue'!O13=0,"n.a.",O29*O10/'Revenue'!O13)</x:f>
        <x:v>13629.617670597516</x:v>
      </x:c>
      <x:c r="P30" s="38" t="n">
        <x:f>IF('Revenue'!P13=0,"n.a.",P29*P10/'Revenue'!P13)</x:f>
        <x:v>13656.87690593871</x:v>
      </x:c>
      <x:c r="Q30" s="38" t="n">
        <x:f>IF('Revenue'!Q13=0,"n.a.",Q29*Q10/'Revenue'!Q13)</x:f>
        <x:v>13684.190659750591</x:v>
      </x:c>
      <x:c r="R30" s="38" t="n">
        <x:f>IF('Revenue'!R13=0,"n.a.",R29*R10/'Revenue'!R13)</x:f>
        <x:v>13711.55904107009</x:v>
      </x:c>
      <x:c r="S30" s="38" t="n">
        <x:f>IF('Revenue'!S13=0,"n.a.",S29*S10/'Revenue'!S13)</x:f>
        <x:v>13738.98215915223</x:v>
      </x:c>
      <x:c r="T30" s="38" t="n">
        <x:f>IF('Revenue'!T13=0,"n.a.",T29*T10/'Revenue'!T13)</x:f>
        <x:v>13766.460123470537</x:v>
      </x:c>
      <x:c r="U30" s="38" t="n">
        <x:f>IF('Revenue'!U13=0,"n.a.",U29*U10/'Revenue'!U13)</x:f>
        <x:v>13793.993043717475</x:v>
      </x:c>
      <x:c r="V30" s="38" t="n">
        <x:f>IF('Revenue'!V13=0,"n.a.",V29*V10/'Revenue'!V13)</x:f>
        <x:v>13821.581029804913</x:v>
      </x:c>
      <x:c r="W30" s="38" t="n">
        <x:f>IF('Revenue'!W13=0,"n.a.",W29*W10/'Revenue'!W13)</x:f>
        <x:v>13849.224191864521</x:v>
      </x:c>
      <x:c r="X30" s="38" t="n">
        <x:f>IF('Revenue'!X13=0,"n.a.",X29*X10/'Revenue'!X13)</x:f>
        <x:v>13876.92264024825</x:v>
      </x:c>
      <x:c r="Y30" s="38" t="n">
        <x:f>IF('Revenue'!Y13=0,"n.a.",Y29*Y10/'Revenue'!Y13)</x:f>
        <x:v>13904.676485528747</x:v>
      </x:c>
      <x:c r="Z30" s="38" t="n">
        <x:f>IF('Revenue'!Z13=0,"n.a.",Z29*Z10/'Revenue'!Z13)</x:f>
        <x:v>13932.485838499804</x:v>
      </x:c>
      <x:c r="AA30" s="38" t="n">
        <x:f>IF('Revenue'!AA13=0,"n.a.",AA29*AA10/'Revenue'!AA13)</x:f>
        <x:v>13960.350810176804</x:v>
      </x:c>
    </x:row>
    <x:row r="31" ht="21" customHeight="1">
      <x:c r="A31" s="1"/>
      <x:c r="B31" s="1"/>
      <x:c r="C31" s="56" t="str">
        <x:v>LTV / CAC proxy</x:v>
      </x:c>
      <x:c r="D31" s="60" t="n">
        <x:f>IF(OR('Revenue'!D12=0,'Revenue'!D13=0,D28=0),"n.a.",D30/D28)</x:f>
        <x:v>7.407407407407407</x:v>
      </x:c>
      <x:c r="E31" s="60" t="n">
        <x:f>IF(OR('Revenue'!E12=0,'Revenue'!E13=0,E28=0),"n.a.",E30/E28)</x:f>
        <x:v>7.206040992448759</x:v>
      </x:c>
      <x:c r="F31" s="60" t="n">
        <x:f>IF(OR('Revenue'!F12=0,'Revenue'!F13=0,F28=0),"n.a.",F30/F28)</x:f>
        <x:v>7.290554560593207</x:v>
      </x:c>
      <x:c r="G31" s="60" t="n">
        <x:f>IF(OR('Revenue'!G12=0,'Revenue'!G13=0,G28=0),"n.a.",G30/G28)</x:f>
        <x:v>7.365147986642592</x:v>
      </x:c>
      <x:c r="H31" s="60" t="n">
        <x:f>IF(OR('Revenue'!H12=0,'Revenue'!H13=0,H28=0),"n.a.",H30/H28)</x:f>
        <x:v>7.430298163007716</x:v>
      </x:c>
      <x:c r="I31" s="60" t="n">
        <x:f>IF(OR('Revenue'!I12=0,'Revenue'!I13=0,I28=0),"n.a.",I30/I28)</x:f>
        <x:v>7.228309475081293</x:v>
      </x:c>
      <x:c r="J31" s="60" t="n">
        <x:f>IF(OR('Revenue'!J12=0,'Revenue'!J13=0,J28=0),"n.a.",J30/J28)</x:f>
        <x:v>7.2829478754130434</x:v>
      </x:c>
      <x:c r="K31" s="60" t="n">
        <x:f>IF(OR('Revenue'!K12=0,'Revenue'!K13=0,K28=0),"n.a.",K30/K28)</x:f>
        <x:v>7.329273958316574</x:v>
      </x:c>
      <x:c r="L31" s="60" t="n">
        <x:f>IF(OR('Revenue'!L12=0,'Revenue'!L13=0,L28=0),"n.a.",L30/L28)</x:f>
        <x:v>7.3676992780980415</x:v>
      </x:c>
      <x:c r="M31" s="60" t="n">
        <x:f>IF(OR('Revenue'!M12=0,'Revenue'!M13=0,M28=0),"n.a.",M30/M28)</x:f>
        <x:v>7.398619156058114</x:v>
      </x:c>
      <x:c r="N31" s="60" t="n">
        <x:f>IF(OR('Revenue'!N12=0,'Revenue'!N13=0,N28=0),"n.a.",N30/N28)</x:f>
        <x:v>7.422413258926504</x:v>
      </x:c>
      <x:c r="O31" s="60" t="n">
        <x:f>IF(OR('Revenue'!O12=0,'Revenue'!O13=0,O28=0),"n.a.",O30/O28)</x:f>
        <x:v>7.439446157843722</x:v>
      </x:c>
      <x:c r="P31" s="60" t="n">
        <x:f>IF(OR('Revenue'!P12=0,'Revenue'!P13=0,P28=0),"n.a.",P30/P28)</x:f>
        <x:v>7.450067868520255</x:v>
      </x:c>
      <x:c r="Q31" s="60" t="n">
        <x:f>IF(OR('Revenue'!Q12=0,'Revenue'!Q13=0,Q28=0),"n.a.",Q30/Q28)</x:f>
        <x:v>7.454614373183432</x:v>
      </x:c>
      <x:c r="R31" s="60" t="n">
        <x:f>IF(OR('Revenue'!R12=0,'Revenue'!R13=0,R28=0),"n.a.",R30/R28)</x:f>
        <x:v>7.453408124902977</x:v>
      </x:c>
      <x:c r="S31" s="60" t="n">
        <x:f>IF(OR('Revenue'!S12=0,'Revenue'!S13=0,S28=0),"n.a.",S30/S28)</x:f>
        <x:v>7.446758534867643</x:v>
      </x:c>
      <x:c r="T31" s="60" t="n">
        <x:f>IF(OR('Revenue'!T12=0,'Revenue'!T13=0,T28=0),"n.a.",T30/T28)</x:f>
        <x:v>7.625602505812343</x:v>
      </x:c>
      <x:c r="U31" s="60" t="n">
        <x:f>IF(OR('Revenue'!U12=0,'Revenue'!U13=0,U28=0),"n.a.",U30/U28)</x:f>
        <x:v>7.603762187955889</x:v>
      </x:c>
      <x:c r="V31" s="60" t="n">
        <x:f>IF(OR('Revenue'!V12=0,'Revenue'!V13=0,V28=0),"n.a.",V30/V28)</x:f>
        <x:v>7.57747402126298</x:v>
      </x:c>
      <x:c r="W31" s="60" t="n">
        <x:f>IF(OR('Revenue'!W12=0,'Revenue'!W13=0,W28=0),"n.a.",W30/W28)</x:f>
        <x:v>7.546995970414627</x:v>
      </x:c>
      <x:c r="X31" s="60" t="n">
        <x:f>IF(OR('Revenue'!X12=0,'Revenue'!X13=0,X28=0),"n.a.",X30/X28)</x:f>
        <x:v>7.68331560862487</x:v>
      </x:c>
      <x:c r="Y31" s="60" t="n">
        <x:f>IF(OR('Revenue'!Y12=0,'Revenue'!Y13=0,Y28=0),"n.a.",Y30/Y28)</x:f>
        <x:v>7.640547638246765</x:v>
      </x:c>
      <x:c r="Z31" s="60" t="n">
        <x:f>IF(OR('Revenue'!Z12=0,'Revenue'!Z13=0,Z28=0),"n.a.",Z30/Z28)</x:f>
        <x:v>7.594426983444345</x:v>
      </x:c>
      <x:c r="AA31" s="60" t="n">
        <x:f>IF(OR('Revenue'!AA12=0,'Revenue'!AA13=0,AA28=0),"n.a.",AA30/AA28)</x:f>
        <x:v>7.702358521651528</x:v>
      </x:c>
    </x:row>
    <x:row r="32" ht="21" customHeight="1">
      <x:c r="A32" s="1"/>
      <x:c r="B32" s="1"/>
      <x:c r="C32" s="56" t="str">
        <x:v>Gross-margin CAC payback (months)</x:v>
      </x:c>
      <x:c r="D32" s="60" t="n">
        <x:f>IF(OR('Revenue'!D12=0,D29*D10=0),"n.a.",D28/(D29*D10))</x:f>
        <x:v>9</x:v>
      </x:c>
      <x:c r="E32" s="60" t="n">
        <x:f>IF(OR('Revenue'!E12=0,E29*E10=0),"n.a.",E28/(E29*E10))</x:f>
        <x:v>9.251497005988023</x:v>
      </x:c>
      <x:c r="F32" s="60" t="n">
        <x:f>IF(OR('Revenue'!F12=0,F29*F10=0),"n.a.",F28/(F29*F10))</x:f>
        <x:v>9.144251800406558</x:v>
      </x:c>
      <x:c r="G32" s="60" t="n">
        <x:f>IF(OR('Revenue'!G12=0,G29*G10=0),"n.a.",G28/(G29*G10))</x:f>
        <x:v>9.051639802428019</x:v>
      </x:c>
      <x:c r="H32" s="60" t="n">
        <x:f>IF(OR('Revenue'!H12=0,H29*H10=0),"n.a.",H28/(H29*H10))</x:f>
        <x:v>8.972273414083375</x:v>
      </x:c>
      <x:c r="I32" s="60" t="n">
        <x:f>IF(OR('Revenue'!I12=0,I29*I10=0),"n.a.",I28/(I29*I10))</x:f>
        <x:v>9.222995625255365</x:v>
      </x:c>
      <x:c r="J32" s="60" t="n">
        <x:f>IF(OR('Revenue'!J12=0,J29*J10=0),"n.a.",J28/(J29*J10))</x:f>
        <x:v>9.153802527096317</x:v>
      </x:c>
      <x:c r="K32" s="60" t="n">
        <x:f>IF(OR('Revenue'!K12=0,K29*K10=0),"n.a.",K28/(K29*K10))</x:f>
        <x:v>9.095944161156588</x:v>
      </x:c>
      <x:c r="L32" s="60" t="n">
        <x:f>IF(OR('Revenue'!L12=0,L29*L10=0),"n.a.",L28/(L29*L10))</x:f>
        <x:v>9.048505395008</x:v>
      </x:c>
      <x:c r="M32" s="60" t="n">
        <x:f>IF(OR('Revenue'!M12=0,M29*M10=0),"n.a.",M28/(M29*M10))</x:f>
        <x:v>9.010690408639142</x:v>
      </x:c>
      <x:c r="N32" s="60" t="n">
        <x:f>IF(OR('Revenue'!N12=0,N29*N10=0),"n.a.",N28/(N29*N10))</x:f>
        <x:v>8.981804750158657</x:v>
      </x:c>
      <x:c r="O32" s="60" t="n">
        <x:f>IF(OR('Revenue'!O12=0,O29*O10=0),"n.a.",O28/(O29*O10))</x:f>
        <x:v>8.961240561755687</x:v>
      </x:c>
      <x:c r="P32" s="60" t="n">
        <x:f>IF(OR('Revenue'!P12=0,P29*P10=0),"n.a.",P28/(P29*P10))</x:f>
        <x:v>8.948464341964192</x:v>
      </x:c>
      <x:c r="Q32" s="60" t="n">
        <x:f>IF(OR('Revenue'!Q12=0,Q29*Q10=0),"n.a.",Q28/(Q29*Q10))</x:f>
        <x:v>8.943006751159043</x:v>
      </x:c>
      <x:c r="R32" s="60" t="n">
        <x:f>IF(OR('Revenue'!R12=0,R29*R10=0),"n.a.",R28/(R29*R10))</x:f>
        <x:v>8.944454073824716</x:v>
      </x:c>
      <x:c r="S32" s="60" t="n">
        <x:f>IF(OR('Revenue'!S12=0,S29*S10=0),"n.a.",S28/(S29*S10))</x:f>
        <x:v>8.952441032499731</x:v>
      </x:c>
      <x:c r="T32" s="60" t="n">
        <x:f>IF(OR('Revenue'!T12=0,T29*T10=0),"n.a.",T28/(T29*T10))</x:f>
        <x:v>8.74247859311476</x:v>
      </x:c>
      <x:c r="U32" s="60" t="n">
        <x:f>IF(OR('Revenue'!U12=0,U29*U10=0),"n.a.",U28/(U29*U10))</x:f>
        <x:v>8.76758965085264</x:v>
      </x:c>
      <x:c r="V32" s="60" t="n">
        <x:f>IF(OR('Revenue'!V12=0,V29*V10=0),"n.a.",V28/(V29*V10))</x:f>
        <x:v>8.798006628540701</x:v>
      </x:c>
      <x:c r="W32" s="60" t="n">
        <x:f>IF(OR('Revenue'!W12=0,W29*W10=0),"n.a.",W28/(W29*W10))</x:f>
        <x:v>8.83353680431395</x:v>
      </x:c>
      <x:c r="X32" s="60" t="n">
        <x:f>IF(OR('Revenue'!X12=0,X29*X10=0),"n.a.",X28/(X29*X10))</x:f>
        <x:v>8.676809604414833</x:v>
      </x:c>
      <x:c r="Y32" s="60" t="n">
        <x:f>IF(OR('Revenue'!Y12=0,Y29*Y10=0),"n.a.",Y28/(Y29*Y10))</x:f>
        <x:v>8.725378051823037</x:v>
      </x:c>
      <x:c r="Z32" s="60" t="n">
        <x:f>IF(OR('Revenue'!Z12=0,Z29*Z10=0),"n.a.",Z28/(Z29*Z10))</x:f>
        <x:v>8.77836692774824</x:v>
      </x:c>
      <x:c r="AA32" s="60" t="n">
        <x:f>IF(OR('Revenue'!AA12=0,AA29*AA10=0),"n.a.",AA28/(AA29*AA10))</x:f>
        <x:v>8.65535750890652</x:v>
      </x:c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ht="21" customHeight="1">
      <x:c r="A35" s="1"/>
      <x:c r="B35" s="1"/>
      <x:c r="C35" s="1" t="str">
        <x:v>Simplified cash: collections equal revenue; expenses paid in-month; capex paid in-month.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</x:row>
    <x:row r="36" ht="21" customHeight="1">
      <x:c r="A36" s="1"/>
      <x:c r="B36" s="1"/>
      <x:c r="C36" s="1" t="str">
        <x:v>No debt, financing, taxes, interest, D&amp;A, deferred revenue, or working-capital changes.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</x:row>
    <x:row r="37" ht="21" customHeight="1">
      <x:c r="A37" s="1"/>
      <x:c r="B37" s="1"/>
      <x:c r="C37" s="1" t="str">
        <x:v>LTV proxy = new-customer ARPA × gross margin / monthly logo churn.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ht="21" customHeight="1">
      <x:c r="A38" s="1"/>
      <x:c r="B38" s="1"/>
      <x:c r="C38" s="1" t="str">
        <x:v>The LTV proxy excludes upsells, contraction, discounting and acquisition cost.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</x:row>
    <x:row r="39" ht="21" customHeight="1">
      <x:c r="A39" s="1"/>
      <x:c r="B39" s="1"/>
      <x:c r="C39" s="1" t="str">
        <x:v>Runway is n.a. when the month generates cash; it is not a forecast depletion date.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</x:sheetData>
  <x:conditionalFormatting sqref="D24:AA2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2" t="str">
        <x:v>Cohorts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3" t="str">
        <x:v>SIMULATED BUSINESS | 2027–2028 FORECAST | USD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 t="str">
        <x:v>Case selected:</x:v>
      </x:c>
      <x:c r="D5" s="5" t="str">
        <x:f>'Assumptions'!F5</x:f>
        <x:v>Base</x:v>
      </x:c>
      <x:c r="E5" s="6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0" t="str">
        <x:v>Acquisition cohort</x:v>
      </x:c>
      <x:c r="D7" s="11" t="d">
        <x:v>2027-01-01T00:00:00.000Z</x:v>
      </x:c>
      <x:c r="E7" s="11" t="d">
        <x:v>2027-02-01T00:00:00.000Z</x:v>
      </x:c>
      <x:c r="F7" s="11" t="d">
        <x:v>2027-03-01T00:00:00.000Z</x:v>
      </x:c>
      <x:c r="G7" s="11" t="d">
        <x:v>2027-04-01T00:00:00.000Z</x:v>
      </x:c>
      <x:c r="H7" s="11" t="d">
        <x:v>2027-05-01T00:00:00.000Z</x:v>
      </x:c>
      <x:c r="I7" s="11" t="d">
        <x:v>2027-06-01T00:00:00.000Z</x:v>
      </x:c>
      <x:c r="J7" s="11" t="d">
        <x:v>2027-07-01T00:00:00.000Z</x:v>
      </x:c>
      <x:c r="K7" s="11" t="d">
        <x:v>2027-08-01T00:00:00.000Z</x:v>
      </x:c>
      <x:c r="L7" s="11" t="d">
        <x:v>2027-09-01T00:00:00.000Z</x:v>
      </x:c>
      <x:c r="M7" s="11" t="d">
        <x:v>2027-10-01T00:00:00.000Z</x:v>
      </x:c>
      <x:c r="N7" s="11" t="d">
        <x:v>2027-11-01T00:00:00.000Z</x:v>
      </x:c>
      <x:c r="O7" s="11" t="d">
        <x:v>2027-12-01T00:00:00.000Z</x:v>
      </x:c>
      <x:c r="P7" s="11" t="d">
        <x:v>2028-01-01T00:00:00.000Z</x:v>
      </x:c>
      <x:c r="Q7" s="11" t="d">
        <x:v>2028-02-01T00:00:00.000Z</x:v>
      </x:c>
      <x:c r="R7" s="11" t="d">
        <x:v>2028-03-01T00:00:00.000Z</x:v>
      </x:c>
      <x:c r="S7" s="11" t="d">
        <x:v>2028-04-01T00:00:00.000Z</x:v>
      </x:c>
      <x:c r="T7" s="11" t="d">
        <x:v>2028-05-01T00:00:00.000Z</x:v>
      </x:c>
      <x:c r="U7" s="11" t="d">
        <x:v>2028-06-01T00:00:00.000Z</x:v>
      </x:c>
      <x:c r="V7" s="11" t="d">
        <x:v>2028-07-01T00:00:00.000Z</x:v>
      </x:c>
      <x:c r="W7" s="11" t="d">
        <x:v>2028-08-01T00:00:00.000Z</x:v>
      </x:c>
      <x:c r="X7" s="11" t="d">
        <x:v>2028-09-01T00:00:00.000Z</x:v>
      </x:c>
      <x:c r="Y7" s="11" t="d">
        <x:v>2028-10-01T00:00:00.000Z</x:v>
      </x:c>
      <x:c r="Z7" s="11" t="d">
        <x:v>2028-11-01T00:00:00.000Z</x:v>
      </x:c>
      <x:c r="AA7" s="11" t="d">
        <x:v>2028-12-01T00:00:00.000Z</x:v>
      </x:c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21" customHeight="1">
      <x:c r="A9" s="1"/>
      <x:c r="B9" s="1"/>
      <x:c r="C9" s="1" t="str">
        <x:v>Existing customers · Dec-26</x:v>
      </x:c>
      <x:c r="D9" s="38" t="n">
        <x:f>'Assumptions'!$D$10*(1-'Assumptions'!D27)*(1+'Assumptions'!D31-'Assumptions'!D35)</x:f>
        <x:v>99977.50000000001</x:v>
      </x:c>
      <x:c r="E9" s="38" t="n">
        <x:f>D9*(1-'Assumptions'!E27)*(1+'Assumptions'!E31-'Assumptions'!E35)</x:f>
        <x:v>99955.00506250001</x:v>
      </x:c>
      <x:c r="F9" s="38" t="n">
        <x:f>E9*(1-'Assumptions'!F27)*(1+'Assumptions'!F31-'Assumptions'!F35)</x:f>
        <x:v>99932.51518636095</x:v>
      </x:c>
      <x:c r="G9" s="38" t="n">
        <x:f>F9*(1-'Assumptions'!G27)*(1+'Assumptions'!G31-'Assumptions'!G35)</x:f>
        <x:v>99910.03037044403</x:v>
      </x:c>
      <x:c r="H9" s="38" t="n">
        <x:f>G9*(1-'Assumptions'!H27)*(1+'Assumptions'!H31-'Assumptions'!H35)</x:f>
        <x:v>99887.55061361069</x:v>
      </x:c>
      <x:c r="I9" s="38" t="n">
        <x:f>H9*(1-'Assumptions'!I27)*(1+'Assumptions'!I31-'Assumptions'!I35)</x:f>
        <x:v>99865.07591472263</x:v>
      </x:c>
      <x:c r="J9" s="38" t="n">
        <x:f>I9*(1-'Assumptions'!J27)*(1+'Assumptions'!J31-'Assumptions'!J35)</x:f>
        <x:v>99842.60627264183</x:v>
      </x:c>
      <x:c r="K9" s="38" t="n">
        <x:f>J9*(1-'Assumptions'!K27)*(1+'Assumptions'!K31-'Assumptions'!K35)</x:f>
        <x:v>99820.1416862305</x:v>
      </x:c>
      <x:c r="L9" s="38" t="n">
        <x:f>K9*(1-'Assumptions'!L27)*(1+'Assumptions'!L31-'Assumptions'!L35)</x:f>
        <x:v>99797.68215435112</x:v>
      </x:c>
      <x:c r="M9" s="38" t="n">
        <x:f>L9*(1-'Assumptions'!M27)*(1+'Assumptions'!M31-'Assumptions'!M35)</x:f>
        <x:v>99775.2276758664</x:v>
      </x:c>
      <x:c r="N9" s="38" t="n">
        <x:f>M9*(1-'Assumptions'!N27)*(1+'Assumptions'!N31-'Assumptions'!N35)</x:f>
        <x:v>99752.77824963933</x:v>
      </x:c>
      <x:c r="O9" s="38" t="n">
        <x:f>N9*(1-'Assumptions'!O27)*(1+'Assumptions'!O31-'Assumptions'!O35)</x:f>
        <x:v>99730.33387453317</x:v>
      </x:c>
      <x:c r="P9" s="38" t="n">
        <x:f>O9*(1-'Assumptions'!P27)*(1+'Assumptions'!P31-'Assumptions'!P35)</x:f>
        <x:v>99707.8945494114</x:v>
      </x:c>
      <x:c r="Q9" s="38" t="n">
        <x:f>P9*(1-'Assumptions'!Q27)*(1+'Assumptions'!Q31-'Assumptions'!Q35)</x:f>
        <x:v>99685.4602731378</x:v>
      </x:c>
      <x:c r="R9" s="38" t="n">
        <x:f>Q9*(1-'Assumptions'!R27)*(1+'Assumptions'!R31-'Assumptions'!R35)</x:f>
        <x:v>99663.03104457636</x:v>
      </x:c>
      <x:c r="S9" s="38" t="n">
        <x:f>R9*(1-'Assumptions'!S27)*(1+'Assumptions'!S31-'Assumptions'!S35)</x:f>
        <x:v>99640.60686259135</x:v>
      </x:c>
      <x:c r="T9" s="38" t="n">
        <x:f>S9*(1-'Assumptions'!T27)*(1+'Assumptions'!T31-'Assumptions'!T35)</x:f>
        <x:v>99618.18772604727</x:v>
      </x:c>
      <x:c r="U9" s="38" t="n">
        <x:f>T9*(1-'Assumptions'!U27)*(1+'Assumptions'!U31-'Assumptions'!U35)</x:f>
        <x:v>99595.77363380892</x:v>
      </x:c>
      <x:c r="V9" s="38" t="n">
        <x:f>U9*(1-'Assumptions'!V27)*(1+'Assumptions'!V31-'Assumptions'!V35)</x:f>
        <x:v>99573.36458474131</x:v>
      </x:c>
      <x:c r="W9" s="38" t="n">
        <x:f>V9*(1-'Assumptions'!W27)*(1+'Assumptions'!W31-'Assumptions'!W35)</x:f>
        <x:v>99550.96057770976</x:v>
      </x:c>
      <x:c r="X9" s="38" t="n">
        <x:f>W9*(1-'Assumptions'!X27)*(1+'Assumptions'!X31-'Assumptions'!X35)</x:f>
        <x:v>99528.56161157979</x:v>
      </x:c>
      <x:c r="Y9" s="38" t="n">
        <x:f>X9*(1-'Assumptions'!Y27)*(1+'Assumptions'!Y31-'Assumptions'!Y35)</x:f>
        <x:v>99506.1676852172</x:v>
      </x:c>
      <x:c r="Z9" s="38" t="n">
        <x:f>Y9*(1-'Assumptions'!Z27)*(1+'Assumptions'!Z31-'Assumptions'!Z35)</x:f>
        <x:v>99483.77879748803</x:v>
      </x:c>
      <x:c r="AA9" s="38" t="n">
        <x:f>Z9*(1-'Assumptions'!AA27)*(1+'Assumptions'!AA31-'Assumptions'!AA35)</x:f>
        <x:v>99461.39494725861</x:v>
      </x:c>
    </x:row>
    <x:row r="10" ht="21" customHeight="1">
      <x:c r="A10" s="1"/>
      <x:c r="B10" s="1"/>
      <x:c r="C10" s="7" t="d">
        <x:v>2027-01-01T00:00:00.000Z</x:v>
      </x:c>
      <x:c r="D10" s="38" t="n">
        <x:f>'Revenue'!D18</x:f>
        <x:v>6250</x:v>
      </x:c>
      <x:c r="E10" s="38" t="n">
        <x:f>D10*(1-'Assumptions'!E27)*(1+'Assumptions'!E31-'Assumptions'!E35)</x:f>
        <x:v>6248.593750000001</x:v>
      </x:c>
      <x:c r="F10" s="38" t="n">
        <x:f>E10*(1-'Assumptions'!F27)*(1+'Assumptions'!F31-'Assumptions'!F35)</x:f>
        <x:v>6247.187816406251</x:v>
      </x:c>
      <x:c r="G10" s="38" t="n">
        <x:f>F10*(1-'Assumptions'!G27)*(1+'Assumptions'!G31-'Assumptions'!G35)</x:f>
        <x:v>6245.782199147559</x:v>
      </x:c>
      <x:c r="H10" s="38" t="n">
        <x:f>G10*(1-'Assumptions'!H27)*(1+'Assumptions'!H31-'Assumptions'!H35)</x:f>
        <x:v>6244.376898152752</x:v>
      </x:c>
      <x:c r="I10" s="38" t="n">
        <x:f>H10*(1-'Assumptions'!I27)*(1+'Assumptions'!I31-'Assumptions'!I35)</x:f>
        <x:v>6242.971913350668</x:v>
      </x:c>
      <x:c r="J10" s="38" t="n">
        <x:f>I10*(1-'Assumptions'!J27)*(1+'Assumptions'!J31-'Assumptions'!J35)</x:f>
        <x:v>6241.567244670165</x:v>
      </x:c>
      <x:c r="K10" s="38" t="n">
        <x:f>J10*(1-'Assumptions'!K27)*(1+'Assumptions'!K31-'Assumptions'!K35)</x:f>
        <x:v>6240.1628920401145</x:v>
      </x:c>
      <x:c r="L10" s="38" t="n">
        <x:f>K10*(1-'Assumptions'!L27)*(1+'Assumptions'!L31-'Assumptions'!L35)</x:f>
        <x:v>6238.758855389407</x:v>
      </x:c>
      <x:c r="M10" s="38" t="n">
        <x:f>L10*(1-'Assumptions'!M27)*(1+'Assumptions'!M31-'Assumptions'!M35)</x:f>
        <x:v>6237.355134646945</x:v>
      </x:c>
      <x:c r="N10" s="38" t="n">
        <x:f>M10*(1-'Assumptions'!N27)*(1+'Assumptions'!N31-'Assumptions'!N35)</x:f>
        <x:v>6235.95172974165</x:v>
      </x:c>
      <x:c r="O10" s="38" t="n">
        <x:f>N10*(1-'Assumptions'!O27)*(1+'Assumptions'!O31-'Assumptions'!O35)</x:f>
        <x:v>6234.548640602458</x:v>
      </x:c>
      <x:c r="P10" s="38" t="n">
        <x:f>O10*(1-'Assumptions'!P27)*(1+'Assumptions'!P31-'Assumptions'!P35)</x:f>
        <x:v>6233.145867158323</x:v>
      </x:c>
      <x:c r="Q10" s="38" t="n">
        <x:f>P10*(1-'Assumptions'!Q27)*(1+'Assumptions'!Q31-'Assumptions'!Q35)</x:f>
        <x:v>6231.743409338213</x:v>
      </x:c>
      <x:c r="R10" s="38" t="n">
        <x:f>Q10*(1-'Assumptions'!R27)*(1+'Assumptions'!R31-'Assumptions'!R35)</x:f>
        <x:v>6230.341267071112</x:v>
      </x:c>
      <x:c r="S10" s="38" t="n">
        <x:f>R10*(1-'Assumptions'!S27)*(1+'Assumptions'!S31-'Assumptions'!S35)</x:f>
        <x:v>6228.939440286023</x:v>
      </x:c>
      <x:c r="T10" s="38" t="n">
        <x:f>S10*(1-'Assumptions'!T27)*(1+'Assumptions'!T31-'Assumptions'!T35)</x:f>
        <x:v>6227.537928911959</x:v>
      </x:c>
      <x:c r="U10" s="38" t="n">
        <x:f>T10*(1-'Assumptions'!U27)*(1+'Assumptions'!U31-'Assumptions'!U35)</x:f>
        <x:v>6226.136732877954</x:v>
      </x:c>
      <x:c r="V10" s="38" t="n">
        <x:f>U10*(1-'Assumptions'!V27)*(1+'Assumptions'!V31-'Assumptions'!V35)</x:f>
        <x:v>6224.735852113057</x:v>
      </x:c>
      <x:c r="W10" s="38" t="n">
        <x:f>V10*(1-'Assumptions'!W27)*(1+'Assumptions'!W31-'Assumptions'!W35)</x:f>
        <x:v>6223.335286546332</x:v>
      </x:c>
      <x:c r="X10" s="38" t="n">
        <x:f>W10*(1-'Assumptions'!X27)*(1+'Assumptions'!X31-'Assumptions'!X35)</x:f>
        <x:v>6221.93503610686</x:v>
      </x:c>
      <x:c r="Y10" s="38" t="n">
        <x:f>X10*(1-'Assumptions'!Y27)*(1+'Assumptions'!Y31-'Assumptions'!Y35)</x:f>
        <x:v>6220.535100723737</x:v>
      </x:c>
      <x:c r="Z10" s="38" t="n">
        <x:f>Y10*(1-'Assumptions'!Z27)*(1+'Assumptions'!Z31-'Assumptions'!Z35)</x:f>
        <x:v>6219.135480326075</x:v>
      </x:c>
      <x:c r="AA10" s="38" t="n">
        <x:f>Z10*(1-'Assumptions'!AA27)*(1+'Assumptions'!AA31-'Assumptions'!AA35)</x:f>
        <x:v>6217.736174843002</x:v>
      </x:c>
    </x:row>
    <x:row r="11" ht="21" customHeight="1">
      <x:c r="A11" s="1"/>
      <x:c r="B11" s="1"/>
      <x:c r="C11" s="7" t="d">
        <x:v>2027-02-01T00:00:00.000Z</x:v>
      </x:c>
      <x:c r="D11" s="42" t="n">
        <x:f>0</x:f>
        <x:v>0</x:v>
      </x:c>
      <x:c r="E11" s="38" t="n">
        <x:f>'Revenue'!E18</x:f>
        <x:v>6262.5</x:v>
      </x:c>
      <x:c r="F11" s="38" t="n">
        <x:f>E11*(1-'Assumptions'!F27)*(1+'Assumptions'!F31-'Assumptions'!F35)</x:f>
        <x:v>6261.090937500001</x:v>
      </x:c>
      <x:c r="G11" s="38" t="n">
        <x:f>F11*(1-'Assumptions'!G27)*(1+'Assumptions'!G31-'Assumptions'!G35)</x:f>
        <x:v>6259.682192039064</x:v>
      </x:c>
      <x:c r="H11" s="38" t="n">
        <x:f>G11*(1-'Assumptions'!H27)*(1+'Assumptions'!H31-'Assumptions'!H35)</x:f>
        <x:v>6258.273763545855</x:v>
      </x:c>
      <x:c r="I11" s="38" t="n">
        <x:f>H11*(1-'Assumptions'!I27)*(1+'Assumptions'!I31-'Assumptions'!I35)</x:f>
        <x:v>6256.865651949058</x:v>
      </x:c>
      <x:c r="J11" s="38" t="n">
        <x:f>I11*(1-'Assumptions'!J27)*(1+'Assumptions'!J31-'Assumptions'!J35)</x:f>
        <x:v>6255.45785717737</x:v>
      </x:c>
      <x:c r="K11" s="38" t="n">
        <x:f>J11*(1-'Assumptions'!K27)*(1+'Assumptions'!K31-'Assumptions'!K35)</x:f>
        <x:v>6254.050379159506</x:v>
      </x:c>
      <x:c r="L11" s="38" t="n">
        <x:f>K11*(1-'Assumptions'!L27)*(1+'Assumptions'!L31-'Assumptions'!L35)</x:f>
        <x:v>6252.643217824195</x:v>
      </x:c>
      <x:c r="M11" s="38" t="n">
        <x:f>L11*(1-'Assumptions'!M27)*(1+'Assumptions'!M31-'Assumptions'!M35)</x:f>
        <x:v>6251.236373100185</x:v>
      </x:c>
      <x:c r="N11" s="38" t="n">
        <x:f>M11*(1-'Assumptions'!N27)*(1+'Assumptions'!N31-'Assumptions'!N35)</x:f>
        <x:v>6249.8298449162385</x:v>
      </x:c>
      <x:c r="O11" s="38" t="n">
        <x:f>N11*(1-'Assumptions'!O27)*(1+'Assumptions'!O31-'Assumptions'!O35)</x:f>
        <x:v>6248.423633201133</x:v>
      </x:c>
      <x:c r="P11" s="38" t="n">
        <x:f>O11*(1-'Assumptions'!P27)*(1+'Assumptions'!P31-'Assumptions'!P35)</x:f>
        <x:v>6247.017737883664</x:v>
      </x:c>
      <x:c r="Q11" s="38" t="n">
        <x:f>P11*(1-'Assumptions'!Q27)*(1+'Assumptions'!Q31-'Assumptions'!Q35)</x:f>
        <x:v>6245.612158892642</x:v>
      </x:c>
      <x:c r="R11" s="38" t="n">
        <x:f>Q11*(1-'Assumptions'!R27)*(1+'Assumptions'!R31-'Assumptions'!R35)</x:f>
        <x:v>6244.206896156892</x:v>
      </x:c>
      <x:c r="S11" s="38" t="n">
        <x:f>R11*(1-'Assumptions'!S27)*(1+'Assumptions'!S31-'Assumptions'!S35)</x:f>
        <x:v>6242.8019496052575</x:v>
      </x:c>
      <x:c r="T11" s="38" t="n">
        <x:f>S11*(1-'Assumptions'!T27)*(1+'Assumptions'!T31-'Assumptions'!T35)</x:f>
        <x:v>6241.397319166597</x:v>
      </x:c>
      <x:c r="U11" s="38" t="n">
        <x:f>T11*(1-'Assumptions'!U27)*(1+'Assumptions'!U31-'Assumptions'!U35)</x:f>
        <x:v>6239.993004769785</x:v>
      </x:c>
      <x:c r="V11" s="38" t="n">
        <x:f>U11*(1-'Assumptions'!V27)*(1+'Assumptions'!V31-'Assumptions'!V35)</x:f>
        <x:v>6238.589006343713</x:v>
      </x:c>
      <x:c r="W11" s="38" t="n">
        <x:f>V11*(1-'Assumptions'!W27)*(1+'Assumptions'!W31-'Assumptions'!W35)</x:f>
        <x:v>6237.185323817285</x:v>
      </x:c>
      <x:c r="X11" s="38" t="n">
        <x:f>W11*(1-'Assumptions'!X27)*(1+'Assumptions'!X31-'Assumptions'!X35)</x:f>
        <x:v>6235.781957119427</x:v>
      </x:c>
      <x:c r="Y11" s="38" t="n">
        <x:f>X11*(1-'Assumptions'!Y27)*(1+'Assumptions'!Y31-'Assumptions'!Y35)</x:f>
        <x:v>6234.378906179076</x:v>
      </x:c>
      <x:c r="Z11" s="38" t="n">
        <x:f>Y11*(1-'Assumptions'!Z27)*(1+'Assumptions'!Z31-'Assumptions'!Z35)</x:f>
        <x:v>6232.976170925186</x:v>
      </x:c>
      <x:c r="AA11" s="38" t="n">
        <x:f>Z11*(1-'Assumptions'!AA27)*(1+'Assumptions'!AA31-'Assumptions'!AA35)</x:f>
        <x:v>6231.573751286728</x:v>
      </x:c>
    </x:row>
    <x:row r="12" ht="21" customHeight="1">
      <x:c r="A12" s="1"/>
      <x:c r="B12" s="1"/>
      <x:c r="C12" s="7" t="d">
        <x:v>2027-03-01T00:00:00.000Z</x:v>
      </x:c>
      <x:c r="D12" s="42" t="n">
        <x:f>0</x:f>
        <x:v>0</x:v>
      </x:c>
      <x:c r="E12" s="42" t="n">
        <x:f>0</x:f>
        <x:v>0</x:v>
      </x:c>
      <x:c r="F12" s="38" t="n">
        <x:f>'Revenue'!F18</x:f>
        <x:v>6526.026</x:v>
      </x:c>
      <x:c r="G12" s="38" t="n">
        <x:f>F12*(1-'Assumptions'!G27)*(1+'Assumptions'!G31-'Assumptions'!G35)</x:f>
        <x:v>6524.55764415</x:v>
      </x:c>
      <x:c r="H12" s="38" t="n">
        <x:f>G12*(1-'Assumptions'!H27)*(1+'Assumptions'!H31-'Assumptions'!H35)</x:f>
        <x:v>6523.089618680066</x:v>
      </x:c>
      <x:c r="I12" s="38" t="n">
        <x:f>H12*(1-'Assumptions'!I27)*(1+'Assumptions'!I31-'Assumptions'!I35)</x:f>
        <x:v>6521.621923515864</x:v>
      </x:c>
      <x:c r="J12" s="38" t="n">
        <x:f>I12*(1-'Assumptions'!J27)*(1+'Assumptions'!J31-'Assumptions'!J35)</x:f>
        <x:v>6520.154558583074</x:v>
      </x:c>
      <x:c r="K12" s="38" t="n">
        <x:f>J12*(1-'Assumptions'!K27)*(1+'Assumptions'!K31-'Assumptions'!K35)</x:f>
        <x:v>6518.687523807393</x:v>
      </x:c>
      <x:c r="L12" s="38" t="n">
        <x:f>K12*(1-'Assumptions'!L27)*(1+'Assumptions'!L31-'Assumptions'!L35)</x:f>
        <x:v>6517.220819114536</x:v>
      </x:c>
      <x:c r="M12" s="38" t="n">
        <x:f>L12*(1-'Assumptions'!M27)*(1+'Assumptions'!M31-'Assumptions'!M35)</x:f>
        <x:v>6515.754444430237</x:v>
      </x:c>
      <x:c r="N12" s="38" t="n">
        <x:f>M12*(1-'Assumptions'!N27)*(1+'Assumptions'!N31-'Assumptions'!N35)</x:f>
        <x:v>6514.28839968024</x:v>
      </x:c>
      <x:c r="O12" s="38" t="n">
        <x:f>N12*(1-'Assumptions'!O27)*(1+'Assumptions'!O31-'Assumptions'!O35)</x:f>
        <x:v>6512.822684790313</x:v>
      </x:c>
      <x:c r="P12" s="38" t="n">
        <x:f>O12*(1-'Assumptions'!P27)*(1+'Assumptions'!P31-'Assumptions'!P35)</x:f>
        <x:v>6511.357299686236</x:v>
      </x:c>
      <x:c r="Q12" s="38" t="n">
        <x:f>P12*(1-'Assumptions'!Q27)*(1+'Assumptions'!Q31-'Assumptions'!Q35)</x:f>
        <x:v>6509.892244293807</x:v>
      </x:c>
      <x:c r="R12" s="38" t="n">
        <x:f>Q12*(1-'Assumptions'!R27)*(1+'Assumptions'!R31-'Assumptions'!R35)</x:f>
        <x:v>6508.4275185388415</x:v>
      </x:c>
      <x:c r="S12" s="38" t="n">
        <x:f>R12*(1-'Assumptions'!S27)*(1+'Assumptions'!S31-'Assumptions'!S35)</x:f>
        <x:v>6506.9631223471715</x:v>
      </x:c>
      <x:c r="T12" s="38" t="n">
        <x:f>S12*(1-'Assumptions'!T27)*(1+'Assumptions'!T31-'Assumptions'!T35)</x:f>
        <x:v>6505.499055644645</x:v>
      </x:c>
      <x:c r="U12" s="38" t="n">
        <x:f>T12*(1-'Assumptions'!U27)*(1+'Assumptions'!U31-'Assumptions'!U35)</x:f>
        <x:v>6504.035318357125</x:v>
      </x:c>
      <x:c r="V12" s="38" t="n">
        <x:f>U12*(1-'Assumptions'!V27)*(1+'Assumptions'!V31-'Assumptions'!V35)</x:f>
        <x:v>6502.571910410496</x:v>
      </x:c>
      <x:c r="W12" s="38" t="n">
        <x:f>V12*(1-'Assumptions'!W27)*(1+'Assumptions'!W31-'Assumptions'!W35)</x:f>
        <x:v>6501.108831730654</x:v>
      </x:c>
      <x:c r="X12" s="38" t="n">
        <x:f>W12*(1-'Assumptions'!X27)*(1+'Assumptions'!X31-'Assumptions'!X35)</x:f>
        <x:v>6499.646082243515</x:v>
      </x:c>
      <x:c r="Y12" s="38" t="n">
        <x:f>X12*(1-'Assumptions'!Y27)*(1+'Assumptions'!Y31-'Assumptions'!Y35)</x:f>
        <x:v>6498.18366187501</x:v>
      </x:c>
      <x:c r="Z12" s="38" t="n">
        <x:f>Y12*(1-'Assumptions'!Z27)*(1+'Assumptions'!Z31-'Assumptions'!Z35)</x:f>
        <x:v>6496.721570551089</x:v>
      </x:c>
      <x:c r="AA12" s="38" t="n">
        <x:f>Z12*(1-'Assumptions'!AA27)*(1+'Assumptions'!AA31-'Assumptions'!AA35)</x:f>
        <x:v>6495.259808197716</x:v>
      </x:c>
    </x:row>
    <x:row r="13" ht="21" customHeight="1">
      <x:c r="A13" s="1"/>
      <x:c r="B13" s="1"/>
      <x:c r="C13" s="7" t="d">
        <x:v>2027-04-01T00:00:00.000Z</x:v>
      </x:c>
      <x:c r="D13" s="42" t="n">
        <x:f>0</x:f>
        <x:v>0</x:v>
      </x:c>
      <x:c r="E13" s="42" t="n">
        <x:f>0</x:f>
        <x:v>0</x:v>
      </x:c>
      <x:c r="F13" s="42" t="n">
        <x:f>0</x:f>
        <x:v>0</x:v>
      </x:c>
      <x:c r="G13" s="38" t="n">
        <x:f>'Revenue'!G18</x:f>
        <x:v>6790.581053999999</x:v>
      </x:c>
      <x:c r="H13" s="38" t="n">
        <x:f>G13*(1-'Assumptions'!H27)*(1+'Assumptions'!H31-'Assumptions'!H35)</x:f>
        <x:v>6789.053173262851</x:v>
      </x:c>
      <x:c r="I13" s="38" t="n">
        <x:f>H13*(1-'Assumptions'!I27)*(1+'Assumptions'!I31-'Assumptions'!I35)</x:f>
        <x:v>6787.5256362988675</x:v>
      </x:c>
      <x:c r="J13" s="38" t="n">
        <x:f>I13*(1-'Assumptions'!J27)*(1+'Assumptions'!J31-'Assumptions'!J35)</x:f>
        <x:v>6785.9984430307</x:v>
      </x:c>
      <x:c r="K13" s="38" t="n">
        <x:f>J13*(1-'Assumptions'!K27)*(1+'Assumptions'!K31-'Assumptions'!K35)</x:f>
        <x:v>6784.471593381019</x:v>
      </x:c>
      <x:c r="L13" s="38" t="n">
        <x:f>K13*(1-'Assumptions'!L27)*(1+'Assumptions'!L31-'Assumptions'!L35)</x:f>
        <x:v>6782.945087272509</x:v>
      </x:c>
      <x:c r="M13" s="38" t="n">
        <x:f>L13*(1-'Assumptions'!M27)*(1+'Assumptions'!M31-'Assumptions'!M35)</x:f>
        <x:v>6781.418924627874</x:v>
      </x:c>
      <x:c r="N13" s="38" t="n">
        <x:f>M13*(1-'Assumptions'!N27)*(1+'Assumptions'!N31-'Assumptions'!N35)</x:f>
        <x:v>6779.8931053698325</x:v>
      </x:c>
      <x:c r="O13" s="38" t="n">
        <x:f>N13*(1-'Assumptions'!O27)*(1+'Assumptions'!O31-'Assumptions'!O35)</x:f>
        <x:v>6778.3676294211255</x:v>
      </x:c>
      <x:c r="P13" s="38" t="n">
        <x:f>O13*(1-'Assumptions'!P27)*(1+'Assumptions'!P31-'Assumptions'!P35)</x:f>
        <x:v>6776.842496704506</x:v>
      </x:c>
      <x:c r="Q13" s="38" t="n">
        <x:f>P13*(1-'Assumptions'!Q27)*(1+'Assumptions'!Q31-'Assumptions'!Q35)</x:f>
        <x:v>6775.317707142748</x:v>
      </x:c>
      <x:c r="R13" s="38" t="n">
        <x:f>Q13*(1-'Assumptions'!R27)*(1+'Assumptions'!R31-'Assumptions'!R35)</x:f>
        <x:v>6773.793260658642</x:v>
      </x:c>
      <x:c r="S13" s="38" t="n">
        <x:f>R13*(1-'Assumptions'!S27)*(1+'Assumptions'!S31-'Assumptions'!S35)</x:f>
        <x:v>6772.269157174995</x:v>
      </x:c>
      <x:c r="T13" s="38" t="n">
        <x:f>S13*(1-'Assumptions'!T27)*(1+'Assumptions'!T31-'Assumptions'!T35)</x:f>
        <x:v>6770.745396614631</x:v>
      </x:c>
      <x:c r="U13" s="38" t="n">
        <x:f>T13*(1-'Assumptions'!U27)*(1+'Assumptions'!U31-'Assumptions'!U35)</x:f>
        <x:v>6769.221978900394</x:v>
      </x:c>
      <x:c r="V13" s="38" t="n">
        <x:f>U13*(1-'Assumptions'!V27)*(1+'Assumptions'!V31-'Assumptions'!V35)</x:f>
        <x:v>6767.698903955142</x:v>
      </x:c>
      <x:c r="W13" s="38" t="n">
        <x:f>V13*(1-'Assumptions'!W27)*(1+'Assumptions'!W31-'Assumptions'!W35)</x:f>
        <x:v>6766.1761717017525</x:v>
      </x:c>
      <x:c r="X13" s="38" t="n">
        <x:f>W13*(1-'Assumptions'!X27)*(1+'Assumptions'!X31-'Assumptions'!X35)</x:f>
        <x:v>6764.65378206312</x:v>
      </x:c>
      <x:c r="Y13" s="38" t="n">
        <x:f>X13*(1-'Assumptions'!Y27)*(1+'Assumptions'!Y31-'Assumptions'!Y35)</x:f>
        <x:v>6763.131734962156</x:v>
      </x:c>
      <x:c r="Z13" s="38" t="n">
        <x:f>Y13*(1-'Assumptions'!Z27)*(1+'Assumptions'!Z31-'Assumptions'!Z35)</x:f>
        <x:v>6761.61003032179</x:v>
      </x:c>
      <x:c r="AA13" s="38" t="n">
        <x:f>Z13*(1-'Assumptions'!AA27)*(1+'Assumptions'!AA31-'Assumptions'!AA35)</x:f>
        <x:v>6760.088668064968</x:v>
      </x:c>
    </x:row>
    <x:row r="14" ht="21" customHeight="1">
      <x:c r="A14" s="1"/>
      <x:c r="B14" s="1"/>
      <x:c r="C14" s="7" t="d">
        <x:v>2027-05-01T00:00:00.000Z</x:v>
      </x:c>
      <x:c r="D14" s="42" t="n">
        <x:f>0</x:f>
        <x:v>0</x:v>
      </x:c>
      <x:c r="E14" s="42" t="n">
        <x:f>0</x:f>
        <x:v>0</x:v>
      </x:c>
      <x:c r="F14" s="42" t="n">
        <x:f>0</x:f>
        <x:v>0</x:v>
      </x:c>
      <x:c r="G14" s="42" t="n">
        <x:f>0</x:f>
        <x:v>0</x:v>
      </x:c>
      <x:c r="H14" s="38" t="n">
        <x:f>'Revenue'!H18</x:f>
        <x:v>7056.168224112001</x:v>
      </x:c>
      <x:c r="I14" s="38" t="n">
        <x:f>H14*(1-'Assumptions'!I27)*(1+'Assumptions'!I31-'Assumptions'!I35)</x:f>
        <x:v>7054.580586261576</x:v>
      </x:c>
      <x:c r="J14" s="38" t="n">
        <x:f>I14*(1-'Assumptions'!J27)*(1+'Assumptions'!J31-'Assumptions'!J35)</x:f>
        <x:v>7052.993305629668</x:v>
      </x:c>
      <x:c r="K14" s="38" t="n">
        <x:f>J14*(1-'Assumptions'!K27)*(1+'Assumptions'!K31-'Assumptions'!K35)</x:f>
        <x:v>7051.406382135901</x:v>
      </x:c>
      <x:c r="L14" s="38" t="n">
        <x:f>K14*(1-'Assumptions'!L27)*(1+'Assumptions'!L31-'Assumptions'!L35)</x:f>
        <x:v>7049.8198156999215</x:v>
      </x:c>
      <x:c r="M14" s="38" t="n">
        <x:f>L14*(1-'Assumptions'!M27)*(1+'Assumptions'!M31-'Assumptions'!M35)</x:f>
        <x:v>7048.23360624139</x:v>
      </x:c>
      <x:c r="N14" s="38" t="n">
        <x:f>M14*(1-'Assumptions'!N27)*(1+'Assumptions'!N31-'Assumptions'!N35)</x:f>
        <x:v>7046.647753679986</x:v>
      </x:c>
      <x:c r="O14" s="38" t="n">
        <x:f>N14*(1-'Assumptions'!O27)*(1+'Assumptions'!O31-'Assumptions'!O35)</x:f>
        <x:v>7045.0622579354085</x:v>
      </x:c>
      <x:c r="P14" s="38" t="n">
        <x:f>O14*(1-'Assumptions'!P27)*(1+'Assumptions'!P31-'Assumptions'!P35)</x:f>
        <x:v>7043.477118927374</x:v>
      </x:c>
      <x:c r="Q14" s="38" t="n">
        <x:f>P14*(1-'Assumptions'!Q27)*(1+'Assumptions'!Q31-'Assumptions'!Q35)</x:f>
        <x:v>7041.892336575616</x:v>
      </x:c>
      <x:c r="R14" s="38" t="n">
        <x:f>Q14*(1-'Assumptions'!R27)*(1+'Assumptions'!R31-'Assumptions'!R35)</x:f>
        <x:v>7040.307910799887</x:v>
      </x:c>
      <x:c r="S14" s="38" t="n">
        <x:f>R14*(1-'Assumptions'!S27)*(1+'Assumptions'!S31-'Assumptions'!S35)</x:f>
        <x:v>7038.723841519958</x:v>
      </x:c>
      <x:c r="T14" s="38" t="n">
        <x:f>S14*(1-'Assumptions'!T27)*(1+'Assumptions'!T31-'Assumptions'!T35)</x:f>
        <x:v>7037.140128655617</x:v>
      </x:c>
      <x:c r="U14" s="38" t="n">
        <x:f>T14*(1-'Assumptions'!U27)*(1+'Assumptions'!U31-'Assumptions'!U35)</x:f>
        <x:v>7035.556772126671</x:v>
      </x:c>
      <x:c r="V14" s="38" t="n">
        <x:f>U14*(1-'Assumptions'!V27)*(1+'Assumptions'!V31-'Assumptions'!V35)</x:f>
        <x:v>7033.973771852943</x:v>
      </x:c>
      <x:c r="W14" s="38" t="n">
        <x:f>V14*(1-'Assumptions'!W27)*(1+'Assumptions'!W31-'Assumptions'!W35)</x:f>
        <x:v>7032.391127754277</x:v>
      </x:c>
      <x:c r="X14" s="38" t="n">
        <x:f>W14*(1-'Assumptions'!X27)*(1+'Assumptions'!X31-'Assumptions'!X35)</x:f>
        <x:v>7030.808839750533</x:v>
      </x:c>
      <x:c r="Y14" s="38" t="n">
        <x:f>X14*(1-'Assumptions'!Y27)*(1+'Assumptions'!Y31-'Assumptions'!Y35)</x:f>
        <x:v>7029.226907761589</x:v>
      </x:c>
      <x:c r="Z14" s="38" t="n">
        <x:f>Y14*(1-'Assumptions'!Z27)*(1+'Assumptions'!Z31-'Assumptions'!Z35)</x:f>
        <x:v>7027.645331707344</x:v>
      </x:c>
      <x:c r="AA14" s="38" t="n">
        <x:f>Z14*(1-'Assumptions'!AA27)*(1+'Assumptions'!AA31-'Assumptions'!AA35)</x:f>
        <x:v>7026.064111507711</x:v>
      </x:c>
    </x:row>
    <x:row r="15" ht="21" customHeight="1">
      <x:c r="A15" s="1"/>
      <x:c r="B15" s="1"/>
      <x:c r="C15" s="7" t="d">
        <x:v>2027-06-01T00:00:00.000Z</x:v>
      </x:c>
      <x:c r="D15" s="42" t="n">
        <x:f>0</x:f>
        <x:v>0</x:v>
      </x:c>
      <x:c r="E15" s="42" t="n">
        <x:f>0</x:f>
        <x:v>0</x:v>
      </x:c>
      <x:c r="F15" s="42" t="n">
        <x:f>0</x:f>
        <x:v>0</x:v>
      </x:c>
      <x:c r="G15" s="42" t="n">
        <x:f>0</x:f>
        <x:v>0</x:v>
      </x:c>
      <x:c r="H15" s="42" t="n">
        <x:f>0</x:f>
        <x:v>0</x:v>
      </x:c>
      <x:c r="I15" s="38" t="n">
        <x:f>'Revenue'!I18</x:f>
        <x:v>7070.280560560224</x:v>
      </x:c>
      <x:c r="J15" s="38" t="n">
        <x:f>I15*(1-'Assumptions'!J27)*(1+'Assumptions'!J31-'Assumptions'!J35)</x:f>
        <x:v>7068.6897474340985</x:v>
      </x:c>
      <x:c r="K15" s="38" t="n">
        <x:f>J15*(1-'Assumptions'!K27)*(1+'Assumptions'!K31-'Assumptions'!K35)</x:f>
        <x:v>7067.099292240927</x:v>
      </x:c>
      <x:c r="L15" s="38" t="n">
        <x:f>K15*(1-'Assumptions'!L27)*(1+'Assumptions'!L31-'Assumptions'!L35)</x:f>
        <x:v>7065.5091949001735</x:v>
      </x:c>
      <x:c r="M15" s="38" t="n">
        <x:f>L15*(1-'Assumptions'!M27)*(1+'Assumptions'!M31-'Assumptions'!M35)</x:f>
        <x:v>7063.919455331322</x:v>
      </x:c>
      <x:c r="N15" s="38" t="n">
        <x:f>M15*(1-'Assumptions'!N27)*(1+'Assumptions'!N31-'Assumptions'!N35)</x:f>
        <x:v>7062.3300734538725</x:v>
      </x:c>
      <x:c r="O15" s="38" t="n">
        <x:f>N15*(1-'Assumptions'!O27)*(1+'Assumptions'!O31-'Assumptions'!O35)</x:f>
        <x:v>7060.741049187346</x:v>
      </x:c>
      <x:c r="P15" s="38" t="n">
        <x:f>O15*(1-'Assumptions'!P27)*(1+'Assumptions'!P31-'Assumptions'!P35)</x:f>
        <x:v>7059.15238245128</x:v>
      </x:c>
      <x:c r="Q15" s="38" t="n">
        <x:f>P15*(1-'Assumptions'!Q27)*(1+'Assumptions'!Q31-'Assumptions'!Q35)</x:f>
        <x:v>7057.564073165228</x:v>
      </x:c>
      <x:c r="R15" s="38" t="n">
        <x:f>Q15*(1-'Assumptions'!R27)*(1+'Assumptions'!R31-'Assumptions'!R35)</x:f>
        <x:v>7055.9761212487665</x:v>
      </x:c>
      <x:c r="S15" s="38" t="n">
        <x:f>R15*(1-'Assumptions'!S27)*(1+'Assumptions'!S31-'Assumptions'!S35)</x:f>
        <x:v>7054.388526621487</x:v>
      </x:c>
      <x:c r="T15" s="38" t="n">
        <x:f>S15*(1-'Assumptions'!T27)*(1+'Assumptions'!T31-'Assumptions'!T35)</x:f>
        <x:v>7052.801289202997</x:v>
      </x:c>
      <x:c r="U15" s="38" t="n">
        <x:f>T15*(1-'Assumptions'!U27)*(1+'Assumptions'!U31-'Assumptions'!U35)</x:f>
        <x:v>7051.214408912928</x:v>
      </x:c>
      <x:c r="V15" s="38" t="n">
        <x:f>U15*(1-'Assumptions'!V27)*(1+'Assumptions'!V31-'Assumptions'!V35)</x:f>
        <x:v>7049.627885670923</x:v>
      </x:c>
      <x:c r="W15" s="38" t="n">
        <x:f>V15*(1-'Assumptions'!W27)*(1+'Assumptions'!W31-'Assumptions'!W35)</x:f>
        <x:v>7048.041719396648</x:v>
      </x:c>
      <x:c r="X15" s="38" t="n">
        <x:f>W15*(1-'Assumptions'!X27)*(1+'Assumptions'!X31-'Assumptions'!X35)</x:f>
        <x:v>7046.455910009784</x:v>
      </x:c>
      <x:c r="Y15" s="38" t="n">
        <x:f>X15*(1-'Assumptions'!Y27)*(1+'Assumptions'!Y31-'Assumptions'!Y35)</x:f>
        <x:v>7044.870457430033</x:v>
      </x:c>
      <x:c r="Z15" s="38" t="n">
        <x:f>Y15*(1-'Assumptions'!Z27)*(1+'Assumptions'!Z31-'Assumptions'!Z35)</x:f>
        <x:v>7043.285361577112</x:v>
      </x:c>
      <x:c r="AA15" s="38" t="n">
        <x:f>Z15*(1-'Assumptions'!AA27)*(1+'Assumptions'!AA31-'Assumptions'!AA35)</x:f>
        <x:v>7041.700622370758</x:v>
      </x:c>
    </x:row>
    <x:row r="16" ht="21" customHeight="1">
      <x:c r="A16" s="1"/>
      <x:c r="B16" s="1"/>
      <x:c r="C16" s="7" t="d">
        <x:v>2027-07-01T00:00:00.000Z</x:v>
      </x:c>
      <x:c r="D16" s="42" t="n">
        <x:f>0</x:f>
        <x:v>0</x:v>
      </x:c>
      <x:c r="E16" s="42" t="n">
        <x:f>0</x:f>
        <x:v>0</x:v>
      </x:c>
      <x:c r="F16" s="42" t="n">
        <x:f>0</x:f>
        <x:v>0</x:v>
      </x:c>
      <x:c r="G16" s="42" t="n">
        <x:f>0</x:f>
        <x:v>0</x:v>
      </x:c>
      <x:c r="H16" s="42" t="n">
        <x:f>0</x:f>
        <x:v>0</x:v>
      </x:c>
      <x:c r="I16" s="42" t="n">
        <x:f>0</x:f>
        <x:v>0</x:v>
      </x:c>
      <x:c r="J16" s="38" t="n">
        <x:f>'Revenue'!J18</x:f>
        <x:v>7337.4361617413915</x:v>
      </x:c>
      <x:c r="K16" s="38" t="n">
        <x:f>J16*(1-'Assumptions'!K27)*(1+'Assumptions'!K31-'Assumptions'!K35)</x:f>
        <x:v>7335.785238605</x:v>
      </x:c>
      <x:c r="L16" s="38" t="n">
        <x:f>K16*(1-'Assumptions'!L27)*(1+'Assumptions'!L31-'Assumptions'!L35)</x:f>
        <x:v>7334.134686926314</x:v>
      </x:c>
      <x:c r="M16" s="38" t="n">
        <x:f>L16*(1-'Assumptions'!M27)*(1+'Assumptions'!M31-'Assumptions'!M35)</x:f>
        <x:v>7332.484506621757</x:v>
      </x:c>
      <x:c r="N16" s="38" t="n">
        <x:f>M16*(1-'Assumptions'!N27)*(1+'Assumptions'!N31-'Assumptions'!N35)</x:f>
        <x:v>7330.834697607767</x:v>
      </x:c>
      <x:c r="O16" s="38" t="n">
        <x:f>N16*(1-'Assumptions'!O27)*(1+'Assumptions'!O31-'Assumptions'!O35)</x:f>
        <x:v>7329.185259800806</x:v>
      </x:c>
      <x:c r="P16" s="38" t="n">
        <x:f>O16*(1-'Assumptions'!P27)*(1+'Assumptions'!P31-'Assumptions'!P35)</x:f>
        <x:v>7327.536193117352</x:v>
      </x:c>
      <x:c r="Q16" s="38" t="n">
        <x:f>P16*(1-'Assumptions'!Q27)*(1+'Assumptions'!Q31-'Assumptions'!Q35)</x:f>
        <x:v>7325.887497473902</x:v>
      </x:c>
      <x:c r="R16" s="38" t="n">
        <x:f>Q16*(1-'Assumptions'!R27)*(1+'Assumptions'!R31-'Assumptions'!R35)</x:f>
        <x:v>7324.239172786971</x:v>
      </x:c>
      <x:c r="S16" s="38" t="n">
        <x:f>R16*(1-'Assumptions'!S27)*(1+'Assumptions'!S31-'Assumptions'!S35)</x:f>
        <x:v>7322.591218973095</x:v>
      </x:c>
      <x:c r="T16" s="38" t="n">
        <x:f>S16*(1-'Assumptions'!T27)*(1+'Assumptions'!T31-'Assumptions'!T35)</x:f>
        <x:v>7320.943635948827</x:v>
      </x:c>
      <x:c r="U16" s="38" t="n">
        <x:f>T16*(1-'Assumptions'!U27)*(1+'Assumptions'!U31-'Assumptions'!U35)</x:f>
        <x:v>7319.296423630739</x:v>
      </x:c>
      <x:c r="V16" s="38" t="n">
        <x:f>U16*(1-'Assumptions'!V27)*(1+'Assumptions'!V31-'Assumptions'!V35)</x:f>
        <x:v>7317.649581935423</x:v>
      </x:c>
      <x:c r="W16" s="38" t="n">
        <x:f>V16*(1-'Assumptions'!W27)*(1+'Assumptions'!W31-'Assumptions'!W35)</x:f>
        <x:v>7316.003110779488</x:v>
      </x:c>
      <x:c r="X16" s="38" t="n">
        <x:f>W16*(1-'Assumptions'!X27)*(1+'Assumptions'!X31-'Assumptions'!X35)</x:f>
        <x:v>7314.357010079563</x:v>
      </x:c>
      <x:c r="Y16" s="38" t="n">
        <x:f>X16*(1-'Assumptions'!Y27)*(1+'Assumptions'!Y31-'Assumptions'!Y35)</x:f>
        <x:v>7312.711279752296</x:v>
      </x:c>
      <x:c r="Z16" s="38" t="n">
        <x:f>Y16*(1-'Assumptions'!Z27)*(1+'Assumptions'!Z31-'Assumptions'!Z35)</x:f>
        <x:v>7311.065919714352</x:v>
      </x:c>
      <x:c r="AA16" s="38" t="n">
        <x:f>Z16*(1-'Assumptions'!AA27)*(1+'Assumptions'!AA31-'Assumptions'!AA35)</x:f>
        <x:v>7309.420929882417</x:v>
      </x:c>
    </x:row>
    <x:row r="17" ht="21" customHeight="1">
      <x:c r="A17" s="1"/>
      <x:c r="B17" s="1"/>
      <x:c r="C17" s="7" t="d">
        <x:v>2027-08-01T00:00:00.000Z</x:v>
      </x:c>
      <x:c r="D17" s="42" t="n">
        <x:f>0</x:f>
        <x:v>0</x:v>
      </x:c>
      <x:c r="E17" s="42" t="n">
        <x:f>0</x:f>
        <x:v>0</x:v>
      </x:c>
      <x:c r="F17" s="42" t="n">
        <x:f>0</x:f>
        <x:v>0</x:v>
      </x:c>
      <x:c r="G17" s="42" t="n">
        <x:f>0</x:f>
        <x:v>0</x:v>
      </x:c>
      <x:c r="H17" s="42" t="n">
        <x:f>0</x:f>
        <x:v>0</x:v>
      </x:c>
      <x:c r="I17" s="42" t="n">
        <x:f>0</x:f>
        <x:v>0</x:v>
      </x:c>
      <x:c r="J17" s="42" t="n">
        <x:f>0</x:f>
        <x:v>0</x:v>
      </x:c>
      <x:c r="K17" s="38" t="n">
        <x:f>'Revenue'!K18</x:f>
        <x:v>7605.632104205044</x:v>
      </x:c>
      <x:c r="L17" s="38" t="n">
        <x:f>K17*(1-'Assumptions'!L27)*(1+'Assumptions'!L31-'Assumptions'!L35)</x:f>
        <x:v>7603.920836981599</x:v>
      </x:c>
      <x:c r="M17" s="38" t="n">
        <x:f>L17*(1-'Assumptions'!M27)*(1+'Assumptions'!M31-'Assumptions'!M35)</x:f>
        <x:v>7602.209954793279</x:v>
      </x:c>
      <x:c r="N17" s="38" t="n">
        <x:f>M17*(1-'Assumptions'!N27)*(1+'Assumptions'!N31-'Assumptions'!N35)</x:f>
        <x:v>7600.499457553452</x:v>
      </x:c>
      <x:c r="O17" s="38" t="n">
        <x:f>N17*(1-'Assumptions'!O27)*(1+'Assumptions'!O31-'Assumptions'!O35)</x:f>
        <x:v>7598.7893451755035</x:v>
      </x:c>
      <x:c r="P17" s="38" t="n">
        <x:f>O17*(1-'Assumptions'!P27)*(1+'Assumptions'!P31-'Assumptions'!P35)</x:f>
        <x:v>7597.079617572839</x:v>
      </x:c>
      <x:c r="Q17" s="38" t="n">
        <x:f>P17*(1-'Assumptions'!Q27)*(1+'Assumptions'!Q31-'Assumptions'!Q35)</x:f>
        <x:v>7595.370274658886</x:v>
      </x:c>
      <x:c r="R17" s="38" t="n">
        <x:f>Q17*(1-'Assumptions'!R27)*(1+'Assumptions'!R31-'Assumptions'!R35)</x:f>
        <x:v>7593.661316347088</x:v>
      </x:c>
      <x:c r="S17" s="38" t="n">
        <x:f>R17*(1-'Assumptions'!S27)*(1+'Assumptions'!S31-'Assumptions'!S35)</x:f>
        <x:v>7591.95274255091</x:v>
      </x:c>
      <x:c r="T17" s="38" t="n">
        <x:f>S17*(1-'Assumptions'!T27)*(1+'Assumptions'!T31-'Assumptions'!T35)</x:f>
        <x:v>7590.2445531838375</x:v>
      </x:c>
      <x:c r="U17" s="38" t="n">
        <x:f>T17*(1-'Assumptions'!U27)*(1+'Assumptions'!U31-'Assumptions'!U35)</x:f>
        <x:v>7588.536748159372</x:v>
      </x:c>
      <x:c r="V17" s="38" t="n">
        <x:f>U17*(1-'Assumptions'!V27)*(1+'Assumptions'!V31-'Assumptions'!V35)</x:f>
        <x:v>7586.829327391037</x:v>
      </x:c>
      <x:c r="W17" s="38" t="n">
        <x:f>V17*(1-'Assumptions'!W27)*(1+'Assumptions'!W31-'Assumptions'!W35)</x:f>
        <x:v>7585.122290792375</x:v>
      </x:c>
      <x:c r="X17" s="38" t="n">
        <x:f>W17*(1-'Assumptions'!X27)*(1+'Assumptions'!X31-'Assumptions'!X35)</x:f>
        <x:v>7583.415638276948</x:v>
      </x:c>
      <x:c r="Y17" s="38" t="n">
        <x:f>X17*(1-'Assumptions'!Y27)*(1+'Assumptions'!Y31-'Assumptions'!Y35)</x:f>
        <x:v>7581.709369758337</x:v>
      </x:c>
      <x:c r="Z17" s="38" t="n">
        <x:f>Y17*(1-'Assumptions'!Z27)*(1+'Assumptions'!Z31-'Assumptions'!Z35)</x:f>
        <x:v>7580.003485150142</x:v>
      </x:c>
      <x:c r="AA17" s="38" t="n">
        <x:f>Z17*(1-'Assumptions'!AA27)*(1+'Assumptions'!AA31-'Assumptions'!AA35)</x:f>
        <x:v>7578.297984365984</x:v>
      </x:c>
    </x:row>
    <x:row r="18" ht="21" customHeight="1">
      <x:c r="A18" s="1"/>
      <x:c r="B18" s="1"/>
      <x:c r="C18" s="7" t="d">
        <x:v>2027-09-01T00:00:00.000Z</x:v>
      </x:c>
      <x:c r="D18" s="42" t="n">
        <x:f>0</x:f>
        <x:v>0</x:v>
      </x:c>
      <x:c r="E18" s="42" t="n">
        <x:f>0</x:f>
        <x:v>0</x:v>
      </x:c>
      <x:c r="F18" s="42" t="n">
        <x:f>0</x:f>
        <x:v>0</x:v>
      </x:c>
      <x:c r="G18" s="42" t="n">
        <x:f>0</x:f>
        <x:v>0</x:v>
      </x:c>
      <x:c r="H18" s="42" t="n">
        <x:f>0</x:f>
        <x:v>0</x:v>
      </x:c>
      <x:c r="I18" s="42" t="n">
        <x:f>0</x:f>
        <x:v>0</x:v>
      </x:c>
      <x:c r="J18" s="42" t="n">
        <x:f>0</x:f>
        <x:v>0</x:v>
      </x:c>
      <x:c r="K18" s="42" t="n">
        <x:f>0</x:f>
        <x:v>0</x:v>
      </x:c>
      <x:c r="L18" s="38" t="n">
        <x:f>'Revenue'!L18</x:f>
        <x:v>7874.871480693903</x:v>
      </x:c>
      <x:c r="M18" s="38" t="n">
        <x:f>L18*(1-'Assumptions'!M27)*(1+'Assumptions'!M31-'Assumptions'!M35)</x:f>
        <x:v>7873.099634610749</x:v>
      </x:c>
      <x:c r="N18" s="38" t="n">
        <x:f>M18*(1-'Assumptions'!N27)*(1+'Assumptions'!N31-'Assumptions'!N35)</x:f>
        <x:v>7871.328187192961</x:v>
      </x:c>
      <x:c r="O18" s="38" t="n">
        <x:f>N18*(1-'Assumptions'!O27)*(1+'Assumptions'!O31-'Assumptions'!O35)</x:f>
        <x:v>7869.557138350843</x:v>
      </x:c>
      <x:c r="P18" s="38" t="n">
        <x:f>O18*(1-'Assumptions'!P27)*(1+'Assumptions'!P31-'Assumptions'!P35)</x:f>
        <x:v>7867.786487994715</x:v>
      </x:c>
      <x:c r="Q18" s="38" t="n">
        <x:f>P18*(1-'Assumptions'!Q27)*(1+'Assumptions'!Q31-'Assumptions'!Q35)</x:f>
        <x:v>7866.016236034917</x:v>
      </x:c>
      <x:c r="R18" s="38" t="n">
        <x:f>Q18*(1-'Assumptions'!R27)*(1+'Assumptions'!R31-'Assumptions'!R35)</x:f>
        <x:v>7864.24638238181</x:v>
      </x:c>
      <x:c r="S18" s="38" t="n">
        <x:f>R18*(1-'Assumptions'!S27)*(1+'Assumptions'!S31-'Assumptions'!S35)</x:f>
        <x:v>7862.476926945775</x:v>
      </x:c>
      <x:c r="T18" s="38" t="n">
        <x:f>S18*(1-'Assumptions'!T27)*(1+'Assumptions'!T31-'Assumptions'!T35)</x:f>
        <x:v>7860.707869637213</x:v>
      </x:c>
      <x:c r="U18" s="38" t="n">
        <x:f>T18*(1-'Assumptions'!U27)*(1+'Assumptions'!U31-'Assumptions'!U35)</x:f>
        <x:v>7858.939210366546</x:v>
      </x:c>
      <x:c r="V18" s="38" t="n">
        <x:f>U18*(1-'Assumptions'!V27)*(1+'Assumptions'!V31-'Assumptions'!V35)</x:f>
        <x:v>7857.1709490442145</x:v>
      </x:c>
      <x:c r="W18" s="38" t="n">
        <x:f>V18*(1-'Assumptions'!W27)*(1+'Assumptions'!W31-'Assumptions'!W35)</x:f>
        <x:v>7855.40308558068</x:v>
      </x:c>
      <x:c r="X18" s="38" t="n">
        <x:f>W18*(1-'Assumptions'!X27)*(1+'Assumptions'!X31-'Assumptions'!X35)</x:f>
        <x:v>7853.635619886425</x:v>
      </x:c>
      <x:c r="Y18" s="38" t="n">
        <x:f>X18*(1-'Assumptions'!Y27)*(1+'Assumptions'!Y31-'Assumptions'!Y35)</x:f>
        <x:v>7851.868551871951</x:v>
      </x:c>
      <x:c r="Z18" s="38" t="n">
        <x:f>Y18*(1-'Assumptions'!Z27)*(1+'Assumptions'!Z31-'Assumptions'!Z35)</x:f>
        <x:v>7850.101881447781</x:v>
      </x:c>
      <x:c r="AA18" s="38" t="n">
        <x:f>Z18*(1-'Assumptions'!AA27)*(1+'Assumptions'!AA31-'Assumptions'!AA35)</x:f>
        <x:v>7848.335608524457</x:v>
      </x:c>
    </x:row>
    <x:row r="19" ht="21" customHeight="1">
      <x:c r="A19" s="1"/>
      <x:c r="B19" s="1"/>
      <x:c r="C19" s="7" t="d">
        <x:v>2027-10-01T00:00:00.000Z</x:v>
      </x:c>
      <x:c r="D19" s="42" t="n">
        <x:f>0</x:f>
        <x:v>0</x:v>
      </x:c>
      <x:c r="E19" s="42" t="n">
        <x:f>0</x:f>
        <x:v>0</x:v>
      </x:c>
      <x:c r="F19" s="42" t="n">
        <x:f>0</x:f>
        <x:v>0</x:v>
      </x:c>
      <x:c r="G19" s="42" t="n">
        <x:f>0</x:f>
        <x:v>0</x:v>
      </x:c>
      <x:c r="H19" s="42" t="n">
        <x:f>0</x:f>
        <x:v>0</x:v>
      </x:c>
      <x:c r="I19" s="42" t="n">
        <x:f>0</x:f>
        <x:v>0</x:v>
      </x:c>
      <x:c r="J19" s="42" t="n">
        <x:f>0</x:f>
        <x:v>0</x:v>
      </x:c>
      <x:c r="K19" s="42" t="n">
        <x:f>0</x:f>
        <x:v>0</x:v>
      </x:c>
      <x:c r="L19" s="42" t="n">
        <x:f>0</x:f>
        <x:v>0</x:v>
      </x:c>
      <x:c r="M19" s="38" t="n">
        <x:f>'Revenue'!M18</x:f>
        <x:v>8145.1573921603</x:v>
      </x:c>
      <x:c r="N19" s="38" t="n">
        <x:f>M19*(1-'Assumptions'!N27)*(1+'Assumptions'!N31-'Assumptions'!N35)</x:f>
        <x:v>8143.324731747066</x:v>
      </x:c>
      <x:c r="O19" s="38" t="n">
        <x:f>N19*(1-'Assumptions'!O27)*(1+'Assumptions'!O31-'Assumptions'!O35)</x:f>
        <x:v>8141.492483682424</x:v>
      </x:c>
      <x:c r="P19" s="38" t="n">
        <x:f>O19*(1-'Assumptions'!P27)*(1+'Assumptions'!P31-'Assumptions'!P35)</x:f>
        <x:v>8139.660647873597</x:v>
      </x:c>
      <x:c r="Q19" s="38" t="n">
        <x:f>P19*(1-'Assumptions'!Q27)*(1+'Assumptions'!Q31-'Assumptions'!Q35)</x:f>
        <x:v>8137.829224227827</x:v>
      </x:c>
      <x:c r="R19" s="38" t="n">
        <x:f>Q19*(1-'Assumptions'!R27)*(1+'Assumptions'!R31-'Assumptions'!R35)</x:f>
        <x:v>8135.998212652376</x:v>
      </x:c>
      <x:c r="S19" s="38" t="n">
        <x:f>R19*(1-'Assumptions'!S27)*(1+'Assumptions'!S31-'Assumptions'!S35)</x:f>
        <x:v>8134.16761305453</x:v>
      </x:c>
      <x:c r="T19" s="38" t="n">
        <x:f>S19*(1-'Assumptions'!T27)*(1+'Assumptions'!T31-'Assumptions'!T35)</x:f>
        <x:v>8132.337425341594</x:v>
      </x:c>
      <x:c r="U19" s="38" t="n">
        <x:f>T19*(1-'Assumptions'!U27)*(1+'Assumptions'!U31-'Assumptions'!U35)</x:f>
        <x:v>8130.507649420893</x:v>
      </x:c>
      <x:c r="V19" s="38" t="n">
        <x:f>U19*(1-'Assumptions'!V27)*(1+'Assumptions'!V31-'Assumptions'!V35)</x:f>
        <x:v>8128.678285199774</x:v>
      </x:c>
      <x:c r="W19" s="38" t="n">
        <x:f>V19*(1-'Assumptions'!W27)*(1+'Assumptions'!W31-'Assumptions'!W35)</x:f>
        <x:v>8126.849332585604</x:v>
      </x:c>
      <x:c r="X19" s="38" t="n">
        <x:f>W19*(1-'Assumptions'!X27)*(1+'Assumptions'!X31-'Assumptions'!X35)</x:f>
        <x:v>8125.020791485773</x:v>
      </x:c>
      <x:c r="Y19" s="38" t="n">
        <x:f>X19*(1-'Assumptions'!Y27)*(1+'Assumptions'!Y31-'Assumptions'!Y35)</x:f>
        <x:v>8123.192661807689</x:v>
      </x:c>
      <x:c r="Z19" s="38" t="n">
        <x:f>Y19*(1-'Assumptions'!Z27)*(1+'Assumptions'!Z31-'Assumptions'!Z35)</x:f>
        <x:v>8121.364943458782</x:v>
      </x:c>
      <x:c r="AA19" s="38" t="n">
        <x:f>Z19*(1-'Assumptions'!AA27)*(1+'Assumptions'!AA31-'Assumptions'!AA35)</x:f>
        <x:v>8119.537636346505</x:v>
      </x:c>
    </x:row>
    <x:row r="20" ht="21" customHeight="1">
      <x:c r="A20" s="1"/>
      <x:c r="B20" s="1"/>
      <x:c r="C20" s="7" t="d">
        <x:v>2027-11-01T00:00:00.000Z</x:v>
      </x:c>
      <x:c r="D20" s="42" t="n">
        <x:f>0</x:f>
        <x:v>0</x:v>
      </x:c>
      <x:c r="E20" s="42" t="n">
        <x:f>0</x:f>
        <x:v>0</x:v>
      </x:c>
      <x:c r="F20" s="42" t="n">
        <x:f>0</x:f>
        <x:v>0</x:v>
      </x:c>
      <x:c r="G20" s="42" t="n">
        <x:f>0</x:f>
        <x:v>0</x:v>
      </x:c>
      <x:c r="H20" s="42" t="n">
        <x:f>0</x:f>
        <x:v>0</x:v>
      </x:c>
      <x:c r="I20" s="42" t="n">
        <x:f>0</x:f>
        <x:v>0</x:v>
      </x:c>
      <x:c r="J20" s="42" t="n">
        <x:f>0</x:f>
        <x:v>0</x:v>
      </x:c>
      <x:c r="K20" s="42" t="n">
        <x:f>0</x:f>
        <x:v>0</x:v>
      </x:c>
      <x:c r="L20" s="42" t="n">
        <x:f>0</x:f>
        <x:v>0</x:v>
      </x:c>
      <x:c r="M20" s="42" t="n">
        <x:f>0</x:f>
        <x:v>0</x:v>
      </x:c>
      <x:c r="N20" s="38" t="n">
        <x:f>'Revenue'!N18</x:f>
        <x:v>8416.492947786639</x:v>
      </x:c>
      <x:c r="O20" s="38" t="n">
        <x:f>N20*(1-'Assumptions'!O27)*(1+'Assumptions'!O31-'Assumptions'!O35)</x:f>
        <x:v>8414.599236873388</x:v>
      </x:c>
      <x:c r="P20" s="38" t="n">
        <x:f>O20*(1-'Assumptions'!P27)*(1+'Assumptions'!P31-'Assumptions'!P35)</x:f>
        <x:v>8412.705952045093</x:v>
      </x:c>
      <x:c r="Q20" s="38" t="n">
        <x:f>P20*(1-'Assumptions'!Q27)*(1+'Assumptions'!Q31-'Assumptions'!Q35)</x:f>
        <x:v>8410.813093205883</x:v>
      </x:c>
      <x:c r="R20" s="38" t="n">
        <x:f>Q20*(1-'Assumptions'!R27)*(1+'Assumptions'!R31-'Assumptions'!R35)</x:f>
        <x:v>8408.920660259912</x:v>
      </x:c>
      <x:c r="S20" s="38" t="n">
        <x:f>R20*(1-'Assumptions'!S27)*(1+'Assumptions'!S31-'Assumptions'!S35)</x:f>
        <x:v>8407.028653111354</x:v>
      </x:c>
      <x:c r="T20" s="38" t="n">
        <x:f>S20*(1-'Assumptions'!T27)*(1+'Assumptions'!T31-'Assumptions'!T35)</x:f>
        <x:v>8405.137071664405</x:v>
      </x:c>
      <x:c r="U20" s="38" t="n">
        <x:f>T20*(1-'Assumptions'!U27)*(1+'Assumptions'!U31-'Assumptions'!U35)</x:f>
        <x:v>8403.245915823281</x:v>
      </x:c>
      <x:c r="V20" s="38" t="n">
        <x:f>U20*(1-'Assumptions'!V27)*(1+'Assumptions'!V31-'Assumptions'!V35)</x:f>
        <x:v>8401.35518549222</x:v>
      </x:c>
      <x:c r="W20" s="38" t="n">
        <x:f>V20*(1-'Assumptions'!W27)*(1+'Assumptions'!W31-'Assumptions'!W35)</x:f>
        <x:v>8399.464880575486</x:v>
      </x:c>
      <x:c r="X20" s="38" t="n">
        <x:f>W20*(1-'Assumptions'!X27)*(1+'Assumptions'!X31-'Assumptions'!X35)</x:f>
        <x:v>8397.575000977356</x:v>
      </x:c>
      <x:c r="Y20" s="38" t="n">
        <x:f>X20*(1-'Assumptions'!Y27)*(1+'Assumptions'!Y31-'Assumptions'!Y35)</x:f>
        <x:v>8395.685546602139</x:v>
      </x:c>
      <x:c r="Z20" s="38" t="n">
        <x:f>Y20*(1-'Assumptions'!Z27)*(1+'Assumptions'!Z31-'Assumptions'!Z35)</x:f>
        <x:v>8393.796517354154</x:v>
      </x:c>
      <x:c r="AA20" s="38" t="n">
        <x:f>Z20*(1-'Assumptions'!AA27)*(1+'Assumptions'!AA31-'Assumptions'!AA35)</x:f>
        <x:v>8391.907913137751</x:v>
      </x:c>
    </x:row>
    <x:row r="21" ht="21" customHeight="1">
      <x:c r="A21" s="1"/>
      <x:c r="B21" s="1"/>
      <x:c r="C21" s="7" t="d">
        <x:v>2027-12-01T00:00:00.000Z</x:v>
      </x:c>
      <x:c r="D21" s="42" t="n">
        <x:f>0</x:f>
        <x:v>0</x:v>
      </x:c>
      <x:c r="E21" s="42" t="n">
        <x:f>0</x:f>
        <x:v>0</x:v>
      </x:c>
      <x:c r="F21" s="42" t="n">
        <x:f>0</x:f>
        <x:v>0</x:v>
      </x:c>
      <x:c r="G21" s="42" t="n">
        <x:f>0</x:f>
        <x:v>0</x:v>
      </x:c>
      <x:c r="H21" s="42" t="n">
        <x:f>0</x:f>
        <x:v>0</x:v>
      </x:c>
      <x:c r="I21" s="42" t="n">
        <x:f>0</x:f>
        <x:v>0</x:v>
      </x:c>
      <x:c r="J21" s="42" t="n">
        <x:f>0</x:f>
        <x:v>0</x:v>
      </x:c>
      <x:c r="K21" s="42" t="n">
        <x:f>0</x:f>
        <x:v>0</x:v>
      </x:c>
      <x:c r="L21" s="42" t="n">
        <x:f>0</x:f>
        <x:v>0</x:v>
      </x:c>
      <x:c r="M21" s="42" t="n">
        <x:f>0</x:f>
        <x:v>0</x:v>
      </x:c>
      <x:c r="N21" s="42" t="n">
        <x:f>0</x:f>
        <x:v>0</x:v>
      </x:c>
      <x:c r="O21" s="38" t="n">
        <x:f>'Revenue'!O18</x:f>
        <x:v>8688.881265005915</x:v>
      </x:c>
      <x:c r="P21" s="38" t="n">
        <x:f>O21*(1-'Assumptions'!P27)*(1+'Assumptions'!P31-'Assumptions'!P35)</x:f>
        <x:v>8686.92626672129</x:v>
      </x:c>
      <x:c r="Q21" s="38" t="n">
        <x:f>P21*(1-'Assumptions'!Q27)*(1+'Assumptions'!Q31-'Assumptions'!Q35)</x:f>
        <x:v>8684.97170831128</x:v>
      </x:c>
      <x:c r="R21" s="38" t="n">
        <x:f>Q21*(1-'Assumptions'!R27)*(1+'Assumptions'!R31-'Assumptions'!R35)</x:f>
        <x:v>8683.01758967691</x:v>
      </x:c>
      <x:c r="S21" s="38" t="n">
        <x:f>R21*(1-'Assumptions'!S27)*(1+'Assumptions'!S31-'Assumptions'!S35)</x:f>
        <x:v>8681.063910719235</x:v>
      </x:c>
      <x:c r="T21" s="38" t="n">
        <x:f>S21*(1-'Assumptions'!T27)*(1+'Assumptions'!T31-'Assumptions'!T35)</x:f>
        <x:v>8679.110671339324</x:v>
      </x:c>
      <x:c r="U21" s="38" t="n">
        <x:f>T21*(1-'Assumptions'!U27)*(1+'Assumptions'!U31-'Assumptions'!U35)</x:f>
        <x:v>8677.157871438272</x:v>
      </x:c>
      <x:c r="V21" s="38" t="n">
        <x:f>U21*(1-'Assumptions'!V27)*(1+'Assumptions'!V31-'Assumptions'!V35)</x:f>
        <x:v>8675.2055109172</x:v>
      </x:c>
      <x:c r="W21" s="38" t="n">
        <x:f>V21*(1-'Assumptions'!W27)*(1+'Assumptions'!W31-'Assumptions'!W35)</x:f>
        <x:v>8673.253589677244</x:v>
      </x:c>
      <x:c r="X21" s="38" t="n">
        <x:f>W21*(1-'Assumptions'!X27)*(1+'Assumptions'!X31-'Assumptions'!X35)</x:f>
        <x:v>8671.302107619567</x:v>
      </x:c>
      <x:c r="Y21" s="38" t="n">
        <x:f>X21*(1-'Assumptions'!Y27)*(1+'Assumptions'!Y31-'Assumptions'!Y35)</x:f>
        <x:v>8669.351064645354</x:v>
      </x:c>
      <x:c r="Z21" s="38" t="n">
        <x:f>Y21*(1-'Assumptions'!Z27)*(1+'Assumptions'!Z31-'Assumptions'!Z35)</x:f>
        <x:v>8667.40046065581</x:v>
      </x:c>
      <x:c r="AA21" s="38" t="n">
        <x:f>Z21*(1-'Assumptions'!AA27)*(1+'Assumptions'!AA31-'Assumptions'!AA35)</x:f>
        <x:v>8665.450295552164</x:v>
      </x:c>
    </x:row>
    <x:row r="22" ht="21" customHeight="1">
      <x:c r="A22" s="1"/>
      <x:c r="B22" s="1"/>
      <x:c r="C22" s="7" t="d">
        <x:v>2028-01-01T00:00:00.000Z</x:v>
      </x:c>
      <x:c r="D22" s="42" t="n">
        <x:f>0</x:f>
        <x:v>0</x:v>
      </x:c>
      <x:c r="E22" s="42" t="n">
        <x:f>0</x:f>
        <x:v>0</x:v>
      </x:c>
      <x:c r="F22" s="42" t="n">
        <x:f>0</x:f>
        <x:v>0</x:v>
      </x:c>
      <x:c r="G22" s="42" t="n">
        <x:f>0</x:f>
        <x:v>0</x:v>
      </x:c>
      <x:c r="H22" s="42" t="n">
        <x:f>0</x:f>
        <x:v>0</x:v>
      </x:c>
      <x:c r="I22" s="42" t="n">
        <x:f>0</x:f>
        <x:v>0</x:v>
      </x:c>
      <x:c r="J22" s="42" t="n">
        <x:f>0</x:f>
        <x:v>0</x:v>
      </x:c>
      <x:c r="K22" s="42" t="n">
        <x:f>0</x:f>
        <x:v>0</x:v>
      </x:c>
      <x:c r="L22" s="42" t="n">
        <x:f>0</x:f>
        <x:v>0</x:v>
      </x:c>
      <x:c r="M22" s="42" t="n">
        <x:f>0</x:f>
        <x:v>0</x:v>
      </x:c>
      <x:c r="N22" s="42" t="n">
        <x:f>0</x:f>
        <x:v>0</x:v>
      </x:c>
      <x:c r="O22" s="42" t="n">
        <x:f>0</x:f>
        <x:v>0</x:v>
      </x:c>
      <x:c r="P22" s="38" t="n">
        <x:f>'Revenue'!P18</x:f>
        <x:v>8962.325469522279</x:v>
      </x:c>
      <x:c r="Q22" s="38" t="n">
        <x:f>P22*(1-'Assumptions'!Q27)*(1+'Assumptions'!Q31-'Assumptions'!Q35)</x:f>
        <x:v>8960.308946291636</x:v>
      </x:c>
      <x:c r="R22" s="38" t="n">
        <x:f>Q22*(1-'Assumptions'!R27)*(1+'Assumptions'!R31-'Assumptions'!R35)</x:f>
        <x:v>8958.292876778722</x:v>
      </x:c>
      <x:c r="S22" s="38" t="n">
        <x:f>R22*(1-'Assumptions'!S27)*(1+'Assumptions'!S31-'Assumptions'!S35)</x:f>
        <x:v>8956.277260881448</x:v>
      </x:c>
      <x:c r="T22" s="38" t="n">
        <x:f>S22*(1-'Assumptions'!T27)*(1+'Assumptions'!T31-'Assumptions'!T35)</x:f>
        <x:v>8954.262098497751</x:v>
      </x:c>
      <x:c r="U22" s="38" t="n">
        <x:f>T22*(1-'Assumptions'!U27)*(1+'Assumptions'!U31-'Assumptions'!U35)</x:f>
        <x:v>8952.24738952559</x:v>
      </x:c>
      <x:c r="V22" s="38" t="n">
        <x:f>U22*(1-'Assumptions'!V27)*(1+'Assumptions'!V31-'Assumptions'!V35)</x:f>
        <x:v>8950.233133862946</x:v>
      </x:c>
      <x:c r="W22" s="38" t="n">
        <x:f>V22*(1-'Assumptions'!W27)*(1+'Assumptions'!W31-'Assumptions'!W35)</x:f>
        <x:v>8948.219331407827</x:v>
      </x:c>
      <x:c r="X22" s="38" t="n">
        <x:f>W22*(1-'Assumptions'!X27)*(1+'Assumptions'!X31-'Assumptions'!X35)</x:f>
        <x:v>8946.20598205826</x:v>
      </x:c>
      <x:c r="Y22" s="38" t="n">
        <x:f>X22*(1-'Assumptions'!Y27)*(1+'Assumptions'!Y31-'Assumptions'!Y35)</x:f>
        <x:v>8944.193085712297</x:v>
      </x:c>
      <x:c r="Z22" s="38" t="n">
        <x:f>Y22*(1-'Assumptions'!Z27)*(1+'Assumptions'!Z31-'Assumptions'!Z35)</x:f>
        <x:v>8942.180642268013</x:v>
      </x:c>
      <x:c r="AA22" s="38" t="n">
        <x:f>Z22*(1-'Assumptions'!AA27)*(1+'Assumptions'!AA31-'Assumptions'!AA35)</x:f>
        <x:v>8940.168651623502</x:v>
      </x:c>
    </x:row>
    <x:row r="23" ht="21" customHeight="1">
      <x:c r="A23" s="1"/>
      <x:c r="B23" s="1"/>
      <x:c r="C23" s="7" t="d">
        <x:v>2028-02-01T00:00:00.000Z</x:v>
      </x:c>
      <x:c r="D23" s="42" t="n">
        <x:f>0</x:f>
        <x:v>0</x:v>
      </x:c>
      <x:c r="E23" s="42" t="n">
        <x:f>0</x:f>
        <x:v>0</x:v>
      </x:c>
      <x:c r="F23" s="42" t="n">
        <x:f>0</x:f>
        <x:v>0</x:v>
      </x:c>
      <x:c r="G23" s="42" t="n">
        <x:f>0</x:f>
        <x:v>0</x:v>
      </x:c>
      <x:c r="H23" s="42" t="n">
        <x:f>0</x:f>
        <x:v>0</x:v>
      </x:c>
      <x:c r="I23" s="42" t="n">
        <x:f>0</x:f>
        <x:v>0</x:v>
      </x:c>
      <x:c r="J23" s="42" t="n">
        <x:f>0</x:f>
        <x:v>0</x:v>
      </x:c>
      <x:c r="K23" s="42" t="n">
        <x:f>0</x:f>
        <x:v>0</x:v>
      </x:c>
      <x:c r="L23" s="42" t="n">
        <x:f>0</x:f>
        <x:v>0</x:v>
      </x:c>
      <x:c r="M23" s="42" t="n">
        <x:f>0</x:f>
        <x:v>0</x:v>
      </x:c>
      <x:c r="N23" s="42" t="n">
        <x:f>0</x:f>
        <x:v>0</x:v>
      </x:c>
      <x:c r="O23" s="42" t="n">
        <x:f>0</x:f>
        <x:v>0</x:v>
      </x:c>
      <x:c r="P23" s="42" t="n">
        <x:f>0</x:f>
        <x:v>0</x:v>
      </x:c>
      <x:c r="Q23" s="38" t="n">
        <x:f>'Revenue'!Q18</x:f>
        <x:v>9236.82869533165</x:v>
      </x:c>
      <x:c r="R23" s="38" t="n">
        <x:f>Q23*(1-'Assumptions'!R27)*(1+'Assumptions'!R31-'Assumptions'!R35)</x:f>
        <x:v>9234.750408875201</x:v>
      </x:c>
      <x:c r="S23" s="38" t="n">
        <x:f>R23*(1-'Assumptions'!S27)*(1+'Assumptions'!S31-'Assumptions'!S35)</x:f>
        <x:v>9232.672590033206</x:v>
      </x:c>
      <x:c r="T23" s="38" t="n">
        <x:f>S23*(1-'Assumptions'!T27)*(1+'Assumptions'!T31-'Assumptions'!T35)</x:f>
        <x:v>9230.595238700449</x:v>
      </x:c>
      <x:c r="U23" s="38" t="n">
        <x:f>T23*(1-'Assumptions'!U27)*(1+'Assumptions'!U31-'Assumptions'!U35)</x:f>
        <x:v>9228.518354771742</x:v>
      </x:c>
      <x:c r="V23" s="38" t="n">
        <x:f>U23*(1-'Assumptions'!V27)*(1+'Assumptions'!V31-'Assumptions'!V35)</x:f>
        <x:v>9226.441938141921</x:v>
      </x:c>
      <x:c r="W23" s="38" t="n">
        <x:f>V23*(1-'Assumptions'!W27)*(1+'Assumptions'!W31-'Assumptions'!W35)</x:f>
        <x:v>9224.36598870584</x:v>
      </x:c>
      <x:c r="X23" s="38" t="n">
        <x:f>W23*(1-'Assumptions'!X27)*(1+'Assumptions'!X31-'Assumptions'!X35)</x:f>
        <x:v>9222.290506358382</x:v>
      </x:c>
      <x:c r="Y23" s="38" t="n">
        <x:f>X23*(1-'Assumptions'!Y27)*(1+'Assumptions'!Y31-'Assumptions'!Y35)</x:f>
        <x:v>9220.215490994453</x:v>
      </x:c>
      <x:c r="Z23" s="38" t="n">
        <x:f>Y23*(1-'Assumptions'!Z27)*(1+'Assumptions'!Z31-'Assumptions'!Z35)</x:f>
        <x:v>9218.14094250898</x:v>
      </x:c>
      <x:c r="AA23" s="38" t="n">
        <x:f>Z23*(1-'Assumptions'!AA27)*(1+'Assumptions'!AA31-'Assumptions'!AA35)</x:f>
        <x:v>9216.066860796916</x:v>
      </x:c>
    </x:row>
    <x:row r="24" ht="21" customHeight="1">
      <x:c r="A24" s="1"/>
      <x:c r="B24" s="1"/>
      <x:c r="C24" s="7" t="d">
        <x:v>2028-03-01T00:00:00.000Z</x:v>
      </x:c>
      <x:c r="D24" s="42" t="n">
        <x:f>0</x:f>
        <x:v>0</x:v>
      </x:c>
      <x:c r="E24" s="42" t="n">
        <x:f>0</x:f>
        <x:v>0</x:v>
      </x:c>
      <x:c r="F24" s="42" t="n">
        <x:f>0</x:f>
        <x:v>0</x:v>
      </x:c>
      <x:c r="G24" s="42" t="n">
        <x:f>0</x:f>
        <x:v>0</x:v>
      </x:c>
      <x:c r="H24" s="42" t="n">
        <x:f>0</x:f>
        <x:v>0</x:v>
      </x:c>
      <x:c r="I24" s="42" t="n">
        <x:f>0</x:f>
        <x:v>0</x:v>
      </x:c>
      <x:c r="J24" s="42" t="n">
        <x:f>0</x:f>
        <x:v>0</x:v>
      </x:c>
      <x:c r="K24" s="42" t="n">
        <x:f>0</x:f>
        <x:v>0</x:v>
      </x:c>
      <x:c r="L24" s="42" t="n">
        <x:f>0</x:f>
        <x:v>0</x:v>
      </x:c>
      <x:c r="M24" s="42" t="n">
        <x:f>0</x:f>
        <x:v>0</x:v>
      </x:c>
      <x:c r="N24" s="42" t="n">
        <x:f>0</x:f>
        <x:v>0</x:v>
      </x:c>
      <x:c r="O24" s="42" t="n">
        <x:f>0</x:f>
        <x:v>0</x:v>
      </x:c>
      <x:c r="P24" s="42" t="n">
        <x:f>0</x:f>
        <x:v>0</x:v>
      </x:c>
      <x:c r="Q24" s="42" t="n">
        <x:f>0</x:f>
        <x:v>0</x:v>
      </x:c>
      <x:c r="R24" s="38" t="n">
        <x:f>'Revenue'!R18</x:f>
        <x:v>9512.394084742375</x:v>
      </x:c>
      <x:c r="S24" s="38" t="n">
        <x:f>R24*(1-'Assumptions'!S27)*(1+'Assumptions'!S31-'Assumptions'!S35)</x:f>
        <x:v>9510.25379607331</x:v>
      </x:c>
      <x:c r="T24" s="38" t="n">
        <x:f>S24*(1-'Assumptions'!T27)*(1+'Assumptions'!T31-'Assumptions'!T35)</x:f>
        <x:v>9508.113988969195</x:v>
      </x:c>
      <x:c r="U24" s="38" t="n">
        <x:f>T24*(1-'Assumptions'!U27)*(1+'Assumptions'!U31-'Assumptions'!U35)</x:f>
        <x:v>9505.974663321676</x:v>
      </x:c>
      <x:c r="V24" s="38" t="n">
        <x:f>U24*(1-'Assumptions'!V27)*(1+'Assumptions'!V31-'Assumptions'!V35)</x:f>
        <x:v>9503.83581902243</x:v>
      </x:c>
      <x:c r="W24" s="38" t="n">
        <x:f>V24*(1-'Assumptions'!W27)*(1+'Assumptions'!W31-'Assumptions'!W35)</x:f>
        <x:v>9501.69745596315</x:v>
      </x:c>
      <x:c r="X24" s="38" t="n">
        <x:f>W24*(1-'Assumptions'!X27)*(1+'Assumptions'!X31-'Assumptions'!X35)</x:f>
        <x:v>9499.55957403556</x:v>
      </x:c>
      <x:c r="Y24" s="38" t="n">
        <x:f>X24*(1-'Assumptions'!Y27)*(1+'Assumptions'!Y31-'Assumptions'!Y35)</x:f>
        <x:v>9497.422173131403</x:v>
      </x:c>
      <x:c r="Z24" s="38" t="n">
        <x:f>Y24*(1-'Assumptions'!Z27)*(1+'Assumptions'!Z31-'Assumptions'!Z35)</x:f>
        <x:v>9495.285253142449</x:v>
      </x:c>
      <x:c r="AA24" s="38" t="n">
        <x:f>Z24*(1-'Assumptions'!AA27)*(1+'Assumptions'!AA31-'Assumptions'!AA35)</x:f>
        <x:v>9493.148813960492</x:v>
      </x:c>
    </x:row>
    <x:row r="25" ht="21" customHeight="1">
      <x:c r="A25" s="1"/>
      <x:c r="B25" s="1"/>
      <x:c r="C25" s="7" t="d">
        <x:v>2028-04-01T00:00:00.000Z</x:v>
      </x:c>
      <x:c r="D25" s="42" t="n">
        <x:f>0</x:f>
        <x:v>0</x:v>
      </x:c>
      <x:c r="E25" s="42" t="n">
        <x:f>0</x:f>
        <x:v>0</x:v>
      </x:c>
      <x:c r="F25" s="42" t="n">
        <x:f>0</x:f>
        <x:v>0</x:v>
      </x:c>
      <x:c r="G25" s="42" t="n">
        <x:f>0</x:f>
        <x:v>0</x:v>
      </x:c>
      <x:c r="H25" s="42" t="n">
        <x:f>0</x:f>
        <x:v>0</x:v>
      </x:c>
      <x:c r="I25" s="42" t="n">
        <x:f>0</x:f>
        <x:v>0</x:v>
      </x:c>
      <x:c r="J25" s="42" t="n">
        <x:f>0</x:f>
        <x:v>0</x:v>
      </x:c>
      <x:c r="K25" s="42" t="n">
        <x:f>0</x:f>
        <x:v>0</x:v>
      </x:c>
      <x:c r="L25" s="42" t="n">
        <x:f>0</x:f>
        <x:v>0</x:v>
      </x:c>
      <x:c r="M25" s="42" t="n">
        <x:f>0</x:f>
        <x:v>0</x:v>
      </x:c>
      <x:c r="N25" s="42" t="n">
        <x:f>0</x:f>
        <x:v>0</x:v>
      </x:c>
      <x:c r="O25" s="42" t="n">
        <x:f>0</x:f>
        <x:v>0</x:v>
      </x:c>
      <x:c r="P25" s="42" t="n">
        <x:f>0</x:f>
        <x:v>0</x:v>
      </x:c>
      <x:c r="Q25" s="42" t="n">
        <x:f>0</x:f>
        <x:v>0</x:v>
      </x:c>
      <x:c r="R25" s="42" t="n">
        <x:f>0</x:f>
        <x:v>0</x:v>
      </x:c>
      <x:c r="S25" s="38" t="n">
        <x:f>'Revenue'!S18</x:f>
        <x:v>9789.024788395964</x:v>
      </x:c>
      <x:c r="T25" s="38" t="n">
        <x:f>S25*(1-'Assumptions'!T27)*(1+'Assumptions'!T31-'Assumptions'!T35)</x:f>
        <x:v>9786.822257818574</x:v>
      </x:c>
      <x:c r="U25" s="38" t="n">
        <x:f>T25*(1-'Assumptions'!U27)*(1+'Assumptions'!U31-'Assumptions'!U35)</x:f>
        <x:v>9784.620222810565</x:v>
      </x:c>
      <x:c r="V25" s="38" t="n">
        <x:f>U25*(1-'Assumptions'!V27)*(1+'Assumptions'!V31-'Assumptions'!V35)</x:f>
        <x:v>9782.418683260434</x:v>
      </x:c>
      <x:c r="W25" s="38" t="n">
        <x:f>V25*(1-'Assumptions'!W27)*(1+'Assumptions'!W31-'Assumptions'!W35)</x:f>
        <x:v>9780.217639056702</x:v>
      </x:c>
      <x:c r="X25" s="38" t="n">
        <x:f>W25*(1-'Assumptions'!X27)*(1+'Assumptions'!X31-'Assumptions'!X35)</x:f>
        <x:v>9778.017090087915</x:v>
      </x:c>
      <x:c r="Y25" s="38" t="n">
        <x:f>X25*(1-'Assumptions'!Y27)*(1+'Assumptions'!Y31-'Assumptions'!Y35)</x:f>
        <x:v>9775.817036242646</x:v>
      </x:c>
      <x:c r="Z25" s="38" t="n">
        <x:f>Y25*(1-'Assumptions'!Z27)*(1+'Assumptions'!Z31-'Assumptions'!Z35)</x:f>
        <x:v>9773.617477409492</x:v>
      </x:c>
      <x:c r="AA25" s="38" t="n">
        <x:f>Z25*(1-'Assumptions'!AA27)*(1+'Assumptions'!AA31-'Assumptions'!AA35)</x:f>
        <x:v>9771.418413477075</x:v>
      </x:c>
    </x:row>
    <x:row r="26" ht="21" customHeight="1">
      <x:c r="A26" s="1"/>
      <x:c r="B26" s="1"/>
      <x:c r="C26" s="7" t="d">
        <x:v>2028-05-01T00:00:00.000Z</x:v>
      </x:c>
      <x:c r="D26" s="42" t="n">
        <x:f>0</x:f>
        <x:v>0</x:v>
      </x:c>
      <x:c r="E26" s="42" t="n">
        <x:f>0</x:f>
        <x:v>0</x:v>
      </x:c>
      <x:c r="F26" s="42" t="n">
        <x:f>0</x:f>
        <x:v>0</x:v>
      </x:c>
      <x:c r="G26" s="42" t="n">
        <x:f>0</x:f>
        <x:v>0</x:v>
      </x:c>
      <x:c r="H26" s="42" t="n">
        <x:f>0</x:f>
        <x:v>0</x:v>
      </x:c>
      <x:c r="I26" s="42" t="n">
        <x:f>0</x:f>
        <x:v>0</x:v>
      </x:c>
      <x:c r="J26" s="42" t="n">
        <x:f>0</x:f>
        <x:v>0</x:v>
      </x:c>
      <x:c r="K26" s="42" t="n">
        <x:f>0</x:f>
        <x:v>0</x:v>
      </x:c>
      <x:c r="L26" s="42" t="n">
        <x:f>0</x:f>
        <x:v>0</x:v>
      </x:c>
      <x:c r="M26" s="42" t="n">
        <x:f>0</x:f>
        <x:v>0</x:v>
      </x:c>
      <x:c r="N26" s="42" t="n">
        <x:f>0</x:f>
        <x:v>0</x:v>
      </x:c>
      <x:c r="O26" s="42" t="n">
        <x:f>0</x:f>
        <x:v>0</x:v>
      </x:c>
      <x:c r="P26" s="42" t="n">
        <x:f>0</x:f>
        <x:v>0</x:v>
      </x:c>
      <x:c r="Q26" s="42" t="n">
        <x:f>0</x:f>
        <x:v>0</x:v>
      </x:c>
      <x:c r="R26" s="42" t="n">
        <x:f>0</x:f>
        <x:v>0</x:v>
      </x:c>
      <x:c r="S26" s="42" t="n">
        <x:f>0</x:f>
        <x:v>0</x:v>
      </x:c>
      <x:c r="T26" s="38" t="n">
        <x:f>'Revenue'!T18</x:f>
        <x:v>10324.845092602902</x:v>
      </x:c>
      <x:c r="U26" s="38" t="n">
        <x:f>T26*(1-'Assumptions'!U27)*(1+'Assumptions'!U31-'Assumptions'!U35)</x:f>
        <x:v>10322.522002457066</x:v>
      </x:c>
      <x:c r="V26" s="38" t="n">
        <x:f>U26*(1-'Assumptions'!V27)*(1+'Assumptions'!V31-'Assumptions'!V35)</x:f>
        <x:v>10320.199435006514</x:v>
      </x:c>
      <x:c r="W26" s="38" t="n">
        <x:f>V26*(1-'Assumptions'!W27)*(1+'Assumptions'!W31-'Assumptions'!W35)</x:f>
        <x:v>10317.877390133639</x:v>
      </x:c>
      <x:c r="X26" s="38" t="n">
        <x:f>W26*(1-'Assumptions'!X27)*(1+'Assumptions'!X31-'Assumptions'!X35)</x:f>
        <x:v>10315.55586772086</x:v>
      </x:c>
      <x:c r="Y26" s="38" t="n">
        <x:f>X26*(1-'Assumptions'!Y27)*(1+'Assumptions'!Y31-'Assumptions'!Y35)</x:f>
        <x:v>10313.234867650624</x:v>
      </x:c>
      <x:c r="Z26" s="38" t="n">
        <x:f>Y26*(1-'Assumptions'!Z27)*(1+'Assumptions'!Z31-'Assumptions'!Z35)</x:f>
        <x:v>10310.914389805403</x:v>
      </x:c>
      <x:c r="AA26" s="38" t="n">
        <x:f>Z26*(1-'Assumptions'!AA27)*(1+'Assumptions'!AA31-'Assumptions'!AA35)</x:f>
        <x:v>10308.594434067698</x:v>
      </x:c>
    </x:row>
    <x:row r="27" ht="21" customHeight="1">
      <x:c r="A27" s="1"/>
      <x:c r="B27" s="1"/>
      <x:c r="C27" s="7" t="d">
        <x:v>2028-06-01T00:00:00.000Z</x:v>
      </x:c>
      <x:c r="D27" s="42" t="n">
        <x:f>0</x:f>
        <x:v>0</x:v>
      </x:c>
      <x:c r="E27" s="42" t="n">
        <x:f>0</x:f>
        <x:v>0</x:v>
      </x:c>
      <x:c r="F27" s="42" t="n">
        <x:f>0</x:f>
        <x:v>0</x:v>
      </x:c>
      <x:c r="G27" s="42" t="n">
        <x:f>0</x:f>
        <x:v>0</x:v>
      </x:c>
      <x:c r="H27" s="42" t="n">
        <x:f>0</x:f>
        <x:v>0</x:v>
      </x:c>
      <x:c r="I27" s="42" t="n">
        <x:f>0</x:f>
        <x:v>0</x:v>
      </x:c>
      <x:c r="J27" s="42" t="n">
        <x:f>0</x:f>
        <x:v>0</x:v>
      </x:c>
      <x:c r="K27" s="42" t="n">
        <x:f>0</x:f>
        <x:v>0</x:v>
      </x:c>
      <x:c r="L27" s="42" t="n">
        <x:f>0</x:f>
        <x:v>0</x:v>
      </x:c>
      <x:c r="M27" s="42" t="n">
        <x:f>0</x:f>
        <x:v>0</x:v>
      </x:c>
      <x:c r="N27" s="42" t="n">
        <x:f>0</x:f>
        <x:v>0</x:v>
      </x:c>
      <x:c r="O27" s="42" t="n">
        <x:f>0</x:f>
        <x:v>0</x:v>
      </x:c>
      <x:c r="P27" s="42" t="n">
        <x:f>0</x:f>
        <x:v>0</x:v>
      </x:c>
      <x:c r="Q27" s="42" t="n">
        <x:f>0</x:f>
        <x:v>0</x:v>
      </x:c>
      <x:c r="R27" s="42" t="n">
        <x:f>0</x:f>
        <x:v>0</x:v>
      </x:c>
      <x:c r="S27" s="42" t="n">
        <x:f>0</x:f>
        <x:v>0</x:v>
      </x:c>
      <x:c r="T27" s="42" t="n">
        <x:f>0</x:f>
        <x:v>0</x:v>
      </x:c>
      <x:c r="U27" s="38" t="n">
        <x:f>'Revenue'!U18</x:f>
        <x:v>10604.132152357808</x:v>
      </x:c>
      <x:c r="V27" s="38" t="n">
        <x:f>U27*(1-'Assumptions'!V27)*(1+'Assumptions'!V31-'Assumptions'!V35)</x:f>
        <x:v>10601.746222623528</x:v>
      </x:c>
      <x:c r="W27" s="38" t="n">
        <x:f>V27*(1-'Assumptions'!W27)*(1+'Assumptions'!W31-'Assumptions'!W35)</x:f>
        <x:v>10599.360829723439</x:v>
      </x:c>
      <x:c r="X27" s="38" t="n">
        <x:f>W27*(1-'Assumptions'!X27)*(1+'Assumptions'!X31-'Assumptions'!X35)</x:f>
        <x:v>10596.975973536752</x:v>
      </x:c>
      <x:c r="Y27" s="38" t="n">
        <x:f>X27*(1-'Assumptions'!Y27)*(1+'Assumptions'!Y31-'Assumptions'!Y35)</x:f>
        <x:v>10594.591653942707</x:v>
      </x:c>
      <x:c r="Z27" s="38" t="n">
        <x:f>Y27*(1-'Assumptions'!Z27)*(1+'Assumptions'!Z31-'Assumptions'!Z35)</x:f>
        <x:v>10592.207870820572</x:v>
      </x:c>
      <x:c r="AA27" s="38" t="n">
        <x:f>Z27*(1-'Assumptions'!AA27)*(1+'Assumptions'!AA31-'Assumptions'!AA35)</x:f>
        <x:v>10589.824624049637</x:v>
      </x:c>
    </x:row>
    <x:row r="28" ht="21" customHeight="1">
      <x:c r="A28" s="1"/>
      <x:c r="B28" s="1"/>
      <x:c r="C28" s="7" t="d">
        <x:v>2028-07-01T00:00:00.000Z</x:v>
      </x:c>
      <x:c r="D28" s="42" t="n">
        <x:f>0</x:f>
        <x:v>0</x:v>
      </x:c>
      <x:c r="E28" s="42" t="n">
        <x:f>0</x:f>
        <x:v>0</x:v>
      </x:c>
      <x:c r="F28" s="42" t="n">
        <x:f>0</x:f>
        <x:v>0</x:v>
      </x:c>
      <x:c r="G28" s="42" t="n">
        <x:f>0</x:f>
        <x:v>0</x:v>
      </x:c>
      <x:c r="H28" s="42" t="n">
        <x:f>0</x:f>
        <x:v>0</x:v>
      </x:c>
      <x:c r="I28" s="42" t="n">
        <x:f>0</x:f>
        <x:v>0</x:v>
      </x:c>
      <x:c r="J28" s="42" t="n">
        <x:f>0</x:f>
        <x:v>0</x:v>
      </x:c>
      <x:c r="K28" s="42" t="n">
        <x:f>0</x:f>
        <x:v>0</x:v>
      </x:c>
      <x:c r="L28" s="42" t="n">
        <x:f>0</x:f>
        <x:v>0</x:v>
      </x:c>
      <x:c r="M28" s="42" t="n">
        <x:f>0</x:f>
        <x:v>0</x:v>
      </x:c>
      <x:c r="N28" s="42" t="n">
        <x:f>0</x:f>
        <x:v>0</x:v>
      </x:c>
      <x:c r="O28" s="42" t="n">
        <x:f>0</x:f>
        <x:v>0</x:v>
      </x:c>
      <x:c r="P28" s="42" t="n">
        <x:f>0</x:f>
        <x:v>0</x:v>
      </x:c>
      <x:c r="Q28" s="42" t="n">
        <x:f>0</x:f>
        <x:v>0</x:v>
      </x:c>
      <x:c r="R28" s="42" t="n">
        <x:f>0</x:f>
        <x:v>0</x:v>
      </x:c>
      <x:c r="S28" s="42" t="n">
        <x:f>0</x:f>
        <x:v>0</x:v>
      </x:c>
      <x:c r="T28" s="42" t="n">
        <x:f>0</x:f>
        <x:v>0</x:v>
      </x:c>
      <x:c r="U28" s="42" t="n">
        <x:f>0</x:f>
        <x:v>0</x:v>
      </x:c>
      <x:c r="V28" s="38" t="n">
        <x:f>'Revenue'!V18</x:f>
        <x:v>10884.495060971367</x:v>
      </x:c>
      <x:c r="W28" s="38" t="n">
        <x:f>V28*(1-'Assumptions'!W27)*(1+'Assumptions'!W31-'Assumptions'!W35)</x:f>
        <x:v>10882.046049582648</x:v>
      </x:c>
      <x:c r="X28" s="38" t="n">
        <x:f>W28*(1-'Assumptions'!X27)*(1+'Assumptions'!X31-'Assumptions'!X35)</x:f>
        <x:v>10879.597589221494</x:v>
      </x:c>
      <x:c r="Y28" s="38" t="n">
        <x:f>X28*(1-'Assumptions'!Y27)*(1+'Assumptions'!Y31-'Assumptions'!Y35)</x:f>
        <x:v>10877.14967976392</x:v>
      </x:c>
      <x:c r="Z28" s="38" t="n">
        <x:f>Y28*(1-'Assumptions'!Z27)*(1+'Assumptions'!Z31-'Assumptions'!Z35)</x:f>
        <x:v>10874.702321085973</x:v>
      </x:c>
      <x:c r="AA28" s="38" t="n">
        <x:f>Z28*(1-'Assumptions'!AA27)*(1+'Assumptions'!AA31-'Assumptions'!AA35)</x:f>
        <x:v>10872.25551306373</x:v>
      </x:c>
    </x:row>
    <x:row r="29" ht="21" customHeight="1">
      <x:c r="A29" s="1"/>
      <x:c r="B29" s="1"/>
      <x:c r="C29" s="7" t="d">
        <x:v>2028-08-01T00:00:00.000Z</x:v>
      </x:c>
      <x:c r="D29" s="42" t="n">
        <x:f>0</x:f>
        <x:v>0</x:v>
      </x:c>
      <x:c r="E29" s="42" t="n">
        <x:f>0</x:f>
        <x:v>0</x:v>
      </x:c>
      <x:c r="F29" s="42" t="n">
        <x:f>0</x:f>
        <x:v>0</x:v>
      </x:c>
      <x:c r="G29" s="42" t="n">
        <x:f>0</x:f>
        <x:v>0</x:v>
      </x:c>
      <x:c r="H29" s="42" t="n">
        <x:f>0</x:f>
        <x:v>0</x:v>
      </x:c>
      <x:c r="I29" s="42" t="n">
        <x:f>0</x:f>
        <x:v>0</x:v>
      </x:c>
      <x:c r="J29" s="42" t="n">
        <x:f>0</x:f>
        <x:v>0</x:v>
      </x:c>
      <x:c r="K29" s="42" t="n">
        <x:f>0</x:f>
        <x:v>0</x:v>
      </x:c>
      <x:c r="L29" s="42" t="n">
        <x:f>0</x:f>
        <x:v>0</x:v>
      </x:c>
      <x:c r="M29" s="42" t="n">
        <x:f>0</x:f>
        <x:v>0</x:v>
      </x:c>
      <x:c r="N29" s="42" t="n">
        <x:f>0</x:f>
        <x:v>0</x:v>
      </x:c>
      <x:c r="O29" s="42" t="n">
        <x:f>0</x:f>
        <x:v>0</x:v>
      </x:c>
      <x:c r="P29" s="42" t="n">
        <x:f>0</x:f>
        <x:v>0</x:v>
      </x:c>
      <x:c r="Q29" s="42" t="n">
        <x:f>0</x:f>
        <x:v>0</x:v>
      </x:c>
      <x:c r="R29" s="42" t="n">
        <x:f>0</x:f>
        <x:v>0</x:v>
      </x:c>
      <x:c r="S29" s="42" t="n">
        <x:f>0</x:f>
        <x:v>0</x:v>
      </x:c>
      <x:c r="T29" s="42" t="n">
        <x:f>0</x:f>
        <x:v>0</x:v>
      </x:c>
      <x:c r="U29" s="42" t="n">
        <x:f>0</x:f>
        <x:v>0</x:v>
      </x:c>
      <x:c r="V29" s="42" t="n">
        <x:f>0</x:f>
        <x:v>0</x:v>
      </x:c>
      <x:c r="W29" s="38" t="n">
        <x:f>'Revenue'!W18</x:f>
        <x:v>11165.93700469077</x:v>
      </x:c>
      <x:c r="X29" s="38" t="n">
        <x:f>W29*(1-'Assumptions'!X27)*(1+'Assumptions'!X31-'Assumptions'!X35)</x:f>
        <x:v>11163.424668864714</x:v>
      </x:c>
      <x:c r="Y29" s="38" t="n">
        <x:f>X29*(1-'Assumptions'!Y27)*(1+'Assumptions'!Y31-'Assumptions'!Y35)</x:f>
        <x:v>11160.91289831422</x:v>
      </x:c>
      <x:c r="Z29" s="38" t="n">
        <x:f>Y29*(1-'Assumptions'!Z27)*(1+'Assumptions'!Z31-'Assumptions'!Z35)</x:f>
        <x:v>11158.4016929121</x:v>
      </x:c>
      <x:c r="AA29" s="38" t="n">
        <x:f>Z29*(1-'Assumptions'!AA27)*(1+'Assumptions'!AA31-'Assumptions'!AA35)</x:f>
        <x:v>11155.891052531197</x:v>
      </x:c>
    </x:row>
    <x:row r="30" ht="21" customHeight="1">
      <x:c r="A30" s="1"/>
      <x:c r="B30" s="1"/>
      <x:c r="C30" s="7" t="d">
        <x:v>2028-09-01T00:00:00.000Z</x:v>
      </x:c>
      <x:c r="D30" s="42" t="n">
        <x:f>0</x:f>
        <x:v>0</x:v>
      </x:c>
      <x:c r="E30" s="42" t="n">
        <x:f>0</x:f>
        <x:v>0</x:v>
      </x:c>
      <x:c r="F30" s="42" t="n">
        <x:f>0</x:f>
        <x:v>0</x:v>
      </x:c>
      <x:c r="G30" s="42" t="n">
        <x:f>0</x:f>
        <x:v>0</x:v>
      </x:c>
      <x:c r="H30" s="42" t="n">
        <x:f>0</x:f>
        <x:v>0</x:v>
      </x:c>
      <x:c r="I30" s="42" t="n">
        <x:f>0</x:f>
        <x:v>0</x:v>
      </x:c>
      <x:c r="J30" s="42" t="n">
        <x:f>0</x:f>
        <x:v>0</x:v>
      </x:c>
      <x:c r="K30" s="42" t="n">
        <x:f>0</x:f>
        <x:v>0</x:v>
      </x:c>
      <x:c r="L30" s="42" t="n">
        <x:f>0</x:f>
        <x:v>0</x:v>
      </x:c>
      <x:c r="M30" s="42" t="n">
        <x:f>0</x:f>
        <x:v>0</x:v>
      </x:c>
      <x:c r="N30" s="42" t="n">
        <x:f>0</x:f>
        <x:v>0</x:v>
      </x:c>
      <x:c r="O30" s="42" t="n">
        <x:f>0</x:f>
        <x:v>0</x:v>
      </x:c>
      <x:c r="P30" s="42" t="n">
        <x:f>0</x:f>
        <x:v>0</x:v>
      </x:c>
      <x:c r="Q30" s="42" t="n">
        <x:f>0</x:f>
        <x:v>0</x:v>
      </x:c>
      <x:c r="R30" s="42" t="n">
        <x:f>0</x:f>
        <x:v>0</x:v>
      </x:c>
      <x:c r="S30" s="42" t="n">
        <x:f>0</x:f>
        <x:v>0</x:v>
      </x:c>
      <x:c r="T30" s="42" t="n">
        <x:f>0</x:f>
        <x:v>0</x:v>
      </x:c>
      <x:c r="U30" s="42" t="n">
        <x:f>0</x:f>
        <x:v>0</x:v>
      </x:c>
      <x:c r="V30" s="42" t="n">
        <x:f>0</x:f>
        <x:v>0</x:v>
      </x:c>
      <x:c r="W30" s="42" t="n">
        <x:f>0</x:f>
        <x:v>0</x:v>
      </x:c>
      <x:c r="X30" s="38" t="n">
        <x:f>'Revenue'!X18</x:f>
        <x:v>11708.65347770946</x:v>
      </x:c>
      <x:c r="Y30" s="38" t="n">
        <x:f>X30*(1-'Assumptions'!Y27)*(1+'Assumptions'!Y31-'Assumptions'!Y35)</x:f>
        <x:v>11706.019030676976</x:v>
      </x:c>
      <x:c r="Z30" s="38" t="n">
        <x:f>Y30*(1-'Assumptions'!Z27)*(1+'Assumptions'!Z31-'Assumptions'!Z35)</x:f>
        <x:v>11703.385176395075</x:v>
      </x:c>
      <x:c r="AA30" s="38" t="n">
        <x:f>Z30*(1-'Assumptions'!AA27)*(1+'Assumptions'!AA31-'Assumptions'!AA35)</x:f>
        <x:v>11700.751914730386</x:v>
      </x:c>
    </x:row>
    <x:row r="31" ht="21" customHeight="1">
      <x:c r="A31" s="1"/>
      <x:c r="B31" s="1"/>
      <x:c r="C31" s="7" t="d">
        <x:v>2028-10-01T00:00:00.000Z</x:v>
      </x:c>
      <x:c r="D31" s="42" t="n">
        <x:f>0</x:f>
        <x:v>0</x:v>
      </x:c>
      <x:c r="E31" s="42" t="n">
        <x:f>0</x:f>
        <x:v>0</x:v>
      </x:c>
      <x:c r="F31" s="42" t="n">
        <x:f>0</x:f>
        <x:v>0</x:v>
      </x:c>
      <x:c r="G31" s="42" t="n">
        <x:f>0</x:f>
        <x:v>0</x:v>
      </x:c>
      <x:c r="H31" s="42" t="n">
        <x:f>0</x:f>
        <x:v>0</x:v>
      </x:c>
      <x:c r="I31" s="42" t="n">
        <x:f>0</x:f>
        <x:v>0</x:v>
      </x:c>
      <x:c r="J31" s="42" t="n">
        <x:f>0</x:f>
        <x:v>0</x:v>
      </x:c>
      <x:c r="K31" s="42" t="n">
        <x:f>0</x:f>
        <x:v>0</x:v>
      </x:c>
      <x:c r="L31" s="42" t="n">
        <x:f>0</x:f>
        <x:v>0</x:v>
      </x:c>
      <x:c r="M31" s="42" t="n">
        <x:f>0</x:f>
        <x:v>0</x:v>
      </x:c>
      <x:c r="N31" s="42" t="n">
        <x:f>0</x:f>
        <x:v>0</x:v>
      </x:c>
      <x:c r="O31" s="42" t="n">
        <x:f>0</x:f>
        <x:v>0</x:v>
      </x:c>
      <x:c r="P31" s="42" t="n">
        <x:f>0</x:f>
        <x:v>0</x:v>
      </x:c>
      <x:c r="Q31" s="42" t="n">
        <x:f>0</x:f>
        <x:v>0</x:v>
      </x:c>
      <x:c r="R31" s="42" t="n">
        <x:f>0</x:f>
        <x:v>0</x:v>
      </x:c>
      <x:c r="S31" s="42" t="n">
        <x:f>0</x:f>
        <x:v>0</x:v>
      </x:c>
      <x:c r="T31" s="42" t="n">
        <x:f>0</x:f>
        <x:v>0</x:v>
      </x:c>
      <x:c r="U31" s="42" t="n">
        <x:f>0</x:f>
        <x:v>0</x:v>
      </x:c>
      <x:c r="V31" s="42" t="n">
        <x:f>0</x:f>
        <x:v>0</x:v>
      </x:c>
      <x:c r="W31" s="42" t="n">
        <x:f>0</x:f>
        <x:v>0</x:v>
      </x:c>
      <x:c r="X31" s="42" t="n">
        <x:f>0</x:f>
        <x:v>0</x:v>
      </x:c>
      <x:c r="Y31" s="38" t="n">
        <x:f>'Revenue'!Y18</x:f>
        <x:v>11992.783468768544</x:v>
      </x:c>
      <x:c r="Z31" s="38" t="n">
        <x:f>Y31*(1-'Assumptions'!Z27)*(1+'Assumptions'!Z31-'Assumptions'!Z35)</x:f>
        <x:v>11990.085092488072</x:v>
      </x:c>
      <x:c r="AA31" s="38" t="n">
        <x:f>Z31*(1-'Assumptions'!AA27)*(1+'Assumptions'!AA31-'Assumptions'!AA35)</x:f>
        <x:v>11987.387323342266</x:v>
      </x:c>
    </x:row>
    <x:row r="32" ht="21" customHeight="1">
      <x:c r="A32" s="1"/>
      <x:c r="B32" s="1"/>
      <x:c r="C32" s="7" t="d">
        <x:v>2028-11-01T00:00:00.000Z</x:v>
      </x:c>
      <x:c r="D32" s="42" t="n">
        <x:f>0</x:f>
        <x:v>0</x:v>
      </x:c>
      <x:c r="E32" s="42" t="n">
        <x:f>0</x:f>
        <x:v>0</x:v>
      </x:c>
      <x:c r="F32" s="42" t="n">
        <x:f>0</x:f>
        <x:v>0</x:v>
      </x:c>
      <x:c r="G32" s="42" t="n">
        <x:f>0</x:f>
        <x:v>0</x:v>
      </x:c>
      <x:c r="H32" s="42" t="n">
        <x:f>0</x:f>
        <x:v>0</x:v>
      </x:c>
      <x:c r="I32" s="42" t="n">
        <x:f>0</x:f>
        <x:v>0</x:v>
      </x:c>
      <x:c r="J32" s="42" t="n">
        <x:f>0</x:f>
        <x:v>0</x:v>
      </x:c>
      <x:c r="K32" s="42" t="n">
        <x:f>0</x:f>
        <x:v>0</x:v>
      </x:c>
      <x:c r="L32" s="42" t="n">
        <x:f>0</x:f>
        <x:v>0</x:v>
      </x:c>
      <x:c r="M32" s="42" t="n">
        <x:f>0</x:f>
        <x:v>0</x:v>
      </x:c>
      <x:c r="N32" s="42" t="n">
        <x:f>0</x:f>
        <x:v>0</x:v>
      </x:c>
      <x:c r="O32" s="42" t="n">
        <x:f>0</x:f>
        <x:v>0</x:v>
      </x:c>
      <x:c r="P32" s="42" t="n">
        <x:f>0</x:f>
        <x:v>0</x:v>
      </x:c>
      <x:c r="Q32" s="42" t="n">
        <x:f>0</x:f>
        <x:v>0</x:v>
      </x:c>
      <x:c r="R32" s="42" t="n">
        <x:f>0</x:f>
        <x:v>0</x:v>
      </x:c>
      <x:c r="S32" s="42" t="n">
        <x:f>0</x:f>
        <x:v>0</x:v>
      </x:c>
      <x:c r="T32" s="42" t="n">
        <x:f>0</x:f>
        <x:v>0</x:v>
      </x:c>
      <x:c r="U32" s="42" t="n">
        <x:f>0</x:f>
        <x:v>0</x:v>
      </x:c>
      <x:c r="V32" s="42" t="n">
        <x:f>0</x:f>
        <x:v>0</x:v>
      </x:c>
      <x:c r="W32" s="42" t="n">
        <x:f>0</x:f>
        <x:v>0</x:v>
      </x:c>
      <x:c r="X32" s="42" t="n">
        <x:f>0</x:f>
        <x:v>0</x:v>
      </x:c>
      <x:c r="Y32" s="42" t="n">
        <x:f>0</x:f>
        <x:v>0</x:v>
      </x:c>
      <x:c r="Z32" s="38" t="n">
        <x:f>'Revenue'!Z18</x:f>
        <x:v>12278.00314517795</x:v>
      </x:c>
      <x:c r="AA32" s="38" t="n">
        <x:f>Z32*(1-'Assumptions'!AA27)*(1+'Assumptions'!AA31-'Assumptions'!AA35)</x:f>
        <x:v>12275.240594470286</x:v>
      </x:c>
    </x:row>
    <x:row r="33" ht="21" customHeight="1">
      <x:c r="A33" s="1"/>
      <x:c r="B33" s="1"/>
      <x:c r="C33" s="7" t="d">
        <x:v>2028-12-01T00:00:00.000Z</x:v>
      </x:c>
      <x:c r="D33" s="42" t="n">
        <x:f>0</x:f>
        <x:v>0</x:v>
      </x:c>
      <x:c r="E33" s="42" t="n">
        <x:f>0</x:f>
        <x:v>0</x:v>
      </x:c>
      <x:c r="F33" s="42" t="n">
        <x:f>0</x:f>
        <x:v>0</x:v>
      </x:c>
      <x:c r="G33" s="42" t="n">
        <x:f>0</x:f>
        <x:v>0</x:v>
      </x:c>
      <x:c r="H33" s="42" t="n">
        <x:f>0</x:f>
        <x:v>0</x:v>
      </x:c>
      <x:c r="I33" s="42" t="n">
        <x:f>0</x:f>
        <x:v>0</x:v>
      </x:c>
      <x:c r="J33" s="42" t="n">
        <x:f>0</x:f>
        <x:v>0</x:v>
      </x:c>
      <x:c r="K33" s="42" t="n">
        <x:f>0</x:f>
        <x:v>0</x:v>
      </x:c>
      <x:c r="L33" s="42" t="n">
        <x:f>0</x:f>
        <x:v>0</x:v>
      </x:c>
      <x:c r="M33" s="42" t="n">
        <x:f>0</x:f>
        <x:v>0</x:v>
      </x:c>
      <x:c r="N33" s="42" t="n">
        <x:f>0</x:f>
        <x:v>0</x:v>
      </x:c>
      <x:c r="O33" s="42" t="n">
        <x:f>0</x:f>
        <x:v>0</x:v>
      </x:c>
      <x:c r="P33" s="42" t="n">
        <x:f>0</x:f>
        <x:v>0</x:v>
      </x:c>
      <x:c r="Q33" s="42" t="n">
        <x:f>0</x:f>
        <x:v>0</x:v>
      </x:c>
      <x:c r="R33" s="42" t="n">
        <x:f>0</x:f>
        <x:v>0</x:v>
      </x:c>
      <x:c r="S33" s="42" t="n">
        <x:f>0</x:f>
        <x:v>0</x:v>
      </x:c>
      <x:c r="T33" s="42" t="n">
        <x:f>0</x:f>
        <x:v>0</x:v>
      </x:c>
      <x:c r="U33" s="42" t="n">
        <x:f>0</x:f>
        <x:v>0</x:v>
      </x:c>
      <x:c r="V33" s="42" t="n">
        <x:f>0</x:f>
        <x:v>0</x:v>
      </x:c>
      <x:c r="W33" s="42" t="n">
        <x:f>0</x:f>
        <x:v>0</x:v>
      </x:c>
      <x:c r="X33" s="42" t="n">
        <x:f>0</x:f>
        <x:v>0</x:v>
      </x:c>
      <x:c r="Y33" s="42" t="n">
        <x:f>0</x:f>
        <x:v>0</x:v>
      </x:c>
      <x:c r="Z33" s="42" t="n">
        <x:f>0</x:f>
        <x:v>0</x:v>
      </x:c>
      <x:c r="AA33" s="38" t="n">
        <x:f>'Revenue'!AA18</x:f>
        <x:v>12826.072306849937</x:v>
      </x:c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ht="21" customHeight="1">
      <x:c r="A35" s="1"/>
      <x:c r="B35" s="1"/>
      <x:c r="C35" s="19" t="str">
        <x:v>Total cohort ending MRR</x:v>
      </x:c>
      <x:c r="D35" s="21" t="n">
        <x:f>SUM(D9:D33)</x:f>
        <x:v>106227.50000000001</x:v>
      </x:c>
      <x:c r="E35" s="21" t="n">
        <x:f>SUM(E9:E33)</x:f>
        <x:v>112466.09881250001</x:v>
      </x:c>
      <x:c r="F35" s="21" t="n">
        <x:f>SUM(F9:F33)</x:f>
        <x:v>118966.8199402672</x:v>
      </x:c>
      <x:c r="G35" s="21" t="n">
        <x:f>SUM(G9:G33)</x:f>
        <x:v>125730.63345978066</x:v>
      </x:c>
      <x:c r="H35" s="21" t="n">
        <x:f>SUM(H9:H33)</x:f>
        <x:v>132758.51229136423</x:v>
      </x:c>
      <x:c r="I35" s="21" t="n">
        <x:f>SUM(I9:I33)</x:f>
        <x:v>139798.92218665892</x:v>
      </x:c>
      <x:c r="J35" s="21" t="n">
        <x:f>SUM(J9:J33)</x:f>
        <x:v>147104.9035909083</x:v>
      </x:c>
      <x:c r="K35" s="21" t="n">
        <x:f>SUM(K9:K33)</x:f>
        <x:v>154677.43709180542</x:v>
      </x:c>
      <x:c r="L35" s="21" t="n">
        <x:f>SUM(L9:L33)</x:f>
        <x:v>162517.50614915366</x:v>
      </x:c>
      <x:c r="M35" s="21" t="n">
        <x:f>SUM(M9:M33)</x:f>
        <x:v>170626.09710243042</x:v>
      </x:c>
      <x:c r="N35" s="21" t="n">
        <x:f>SUM(N9:N33)</x:f>
        <x:v>179004.19917836905</x:v>
      </x:c>
      <x:c r="O35" s="21" t="n">
        <x:f>SUM(O9:O33)</x:f>
        <x:v>187652.80449855985</x:v>
      </x:c>
      <x:c r="P35" s="21" t="n">
        <x:f>SUM(P9:P33)</x:f>
        <x:v>196572.90808706993</x:v>
      </x:c>
      <x:c r="Q35" s="21" t="n">
        <x:f>SUM(Q9:Q33)</x:f>
        <x:v>205765.50787808208</x:v>
      </x:c>
      <x:c r="R35" s="21" t="n">
        <x:f>SUM(R9:R33)</x:f>
        <x:v>215231.60472355183</x:v>
      </x:c>
      <x:c r="S35" s="21" t="n">
        <x:f>SUM(S9:S33)</x:f>
        <x:v>224972.20240088506</x:v>
      </x:c>
      <x:c r="T35" s="21" t="n">
        <x:f>SUM(T9:T33)</x:f>
        <x:v>235246.42874794774</x:v>
      </x:c>
      <x:c r="U35" s="21" t="n">
        <x:f>SUM(U9:U33)</x:f>
        <x:v>245797.63045383734</x:v>
      </x:c>
      <x:c r="V35" s="21" t="n">
        <x:f>SUM(V9:V33)</x:f>
        <x:v>256626.8210479566</x:v>
      </x:c>
      <x:c r="W35" s="21" t="n">
        <x:f>SUM(W9:W33)</x:f>
        <x:v>267735.01701791165</x:v>
      </x:c>
      <x:c r="X35" s="21" t="n">
        <x:f>SUM(X9:X33)</x:f>
        <x:v>279383.43011679203</x:v>
      </x:c>
      <x:c r="Y35" s="21" t="n">
        <x:f>SUM(Y9:Y33)</x:f>
        <x:v>291313.35231378436</x:v>
      </x:c>
      <x:c r="Z35" s="21" t="n">
        <x:f>SUM(Z9:Z33)</x:f>
        <x:v>303525.8099546917</x:v>
      </x:c>
      <x:c r="AA35" s="21" t="n">
        <x:f>SUM(AA9:AA33)</x:f>
        <x:v>316283.58895430196</x:v>
      </x:c>
    </x:row>
    <x:row r="36" ht="21" customHeight="1">
      <x:c r="A36" s="1"/>
      <x:c r="B36" s="1"/>
      <x:c r="C36" s="1" t="str">
        <x:v>Difference to revenue schedule</x:v>
      </x:c>
      <x:c r="D36" s="49" t="n">
        <x:f>D35-'Revenue'!D23</x:f>
        <x:v>1.4551915228366852e-11</x:v>
      </x:c>
      <x:c r="E36" s="49" t="n">
        <x:f>E35-'Revenue'!E23</x:f>
        <x:v>2.9103830456733704e-11</x:v>
      </x:c>
      <x:c r="F36" s="49" t="n">
        <x:f>F35-'Revenue'!F23</x:f>
        <x:v>2.9103830456733704e-11</x:v>
      </x:c>
      <x:c r="G36" s="49" t="n">
        <x:f>G35-'Revenue'!G23</x:f>
        <x:v>2.9103830456733704e-11</x:v>
      </x:c>
      <x:c r="H36" s="49" t="n">
        <x:f>H35-'Revenue'!H23</x:f>
        <x:v>2.9103830456733704e-11</x:v>
      </x:c>
      <x:c r="I36" s="49" t="n">
        <x:f>I35-'Revenue'!I23</x:f>
        <x:v>5.820766091346741e-11</x:v>
      </x:c>
      <x:c r="J36" s="49" t="n">
        <x:f>J35-'Revenue'!J23</x:f>
        <x:v>5.820766091346741e-11</x:v>
      </x:c>
      <x:c r="K36" s="49" t="n">
        <x:f>K35-'Revenue'!K23</x:f>
        <x:v>8.731149137020111e-11</x:v>
      </x:c>
      <x:c r="L36" s="49" t="n">
        <x:f>L35-'Revenue'!L23</x:f>
        <x:v>8.731149137020111e-11</x:v>
      </x:c>
      <x:c r="M36" s="49" t="n">
        <x:f>M35-'Revenue'!M23</x:f>
        <x:v>1.1641532182693481e-10</x:v>
      </x:c>
      <x:c r="N36" s="49" t="n">
        <x:f>N35-'Revenue'!N23</x:f>
        <x:v>1.7462298274040222e-10</x:v>
      </x:c>
      <x:c r="O36" s="49" t="n">
        <x:f>O35-'Revenue'!O23</x:f>
        <x:v>2.0372681319713593e-10</x:v>
      </x:c>
      <x:c r="P36" s="49" t="n">
        <x:f>P35-'Revenue'!P23</x:f>
        <x:v>1.4551915228366852e-10</x:v>
      </x:c>
      <x:c r="Q36" s="49" t="n">
        <x:f>Q35-'Revenue'!Q23</x:f>
        <x:v>2.3283064365386963e-10</x:v>
      </x:c>
      <x:c r="R36" s="49" t="n">
        <x:f>R35-'Revenue'!R23</x:f>
        <x:v>1.7462298274040222e-10</x:v>
      </x:c>
      <x:c r="S36" s="49" t="n">
        <x:f>S35-'Revenue'!S23</x:f>
        <x:v>2.3283064365386963e-10</x:v>
      </x:c>
      <x:c r="T36" s="49" t="n">
        <x:f>T35-'Revenue'!T23</x:f>
        <x:v>2.3283064365386963e-10</x:v>
      </x:c>
      <x:c r="U36" s="49" t="n">
        <x:f>U35-'Revenue'!U23</x:f>
        <x:v>2.9103830456733704e-10</x:v>
      </x:c>
      <x:c r="V36" s="49" t="n">
        <x:f>V35-'Revenue'!V23</x:f>
        <x:v>2.9103830456733704e-10</x:v>
      </x:c>
      <x:c r="W36" s="49" t="n">
        <x:f>W35-'Revenue'!W23</x:f>
        <x:v>3.4924596548080444e-10</x:v>
      </x:c>
      <x:c r="X36" s="49" t="n">
        <x:f>X35-'Revenue'!X23</x:f>
        <x:v>3.4924596548080444e-10</x:v>
      </x:c>
      <x:c r="Y36" s="49" t="n">
        <x:f>Y35-'Revenue'!Y23</x:f>
        <x:v>4.0745362639427185e-10</x:v>
      </x:c>
      <x:c r="Z36" s="49" t="n">
        <x:f>Z35-'Revenue'!Z23</x:f>
        <x:v>3.4924596548080444e-10</x:v>
      </x:c>
      <x:c r="AA36" s="49" t="n">
        <x:f>AA35-'Revenue'!AA23</x:f>
        <x:v>5.238689482212067e-10</x:v>
      </x:c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ht="21" customHeight="1">
      <x:c r="A38" s="1"/>
      <x:c r="B38" s="1"/>
      <x:c r="C38" s="56" t="str">
        <x:v>Original Dec-26 cohort retention</x:v>
      </x:c>
      <x:c r="D38" s="57" t="n">
        <x:f>IF('Assumptions'!$D$10=0,"n.a.",D9/'Assumptions'!$D$10)</x:f>
        <x:v>0.9997750000000002</x:v>
      </x:c>
      <x:c r="E38" s="57" t="n">
        <x:f>IF('Assumptions'!$D$10=0,"n.a.",E9/'Assumptions'!$D$10)</x:f>
        <x:v>0.9995500506250001</x:v>
      </x:c>
      <x:c r="F38" s="57" t="n">
        <x:f>IF('Assumptions'!$D$10=0,"n.a.",F9/'Assumptions'!$D$10)</x:f>
        <x:v>0.9993251518636095</x:v>
      </x:c>
      <x:c r="G38" s="57" t="n">
        <x:f>IF('Assumptions'!$D$10=0,"n.a.",G9/'Assumptions'!$D$10)</x:f>
        <x:v>0.9991003037044403</x:v>
      </x:c>
      <x:c r="H38" s="57" t="n">
        <x:f>IF('Assumptions'!$D$10=0,"n.a.",H9/'Assumptions'!$D$10)</x:f>
        <x:v>0.9988755061361069</x:v>
      </x:c>
      <x:c r="I38" s="57" t="n">
        <x:f>IF('Assumptions'!$D$10=0,"n.a.",I9/'Assumptions'!$D$10)</x:f>
        <x:v>0.9986507591472263</x:v>
      </x:c>
      <x:c r="J38" s="57" t="n">
        <x:f>IF('Assumptions'!$D$10=0,"n.a.",J9/'Assumptions'!$D$10)</x:f>
        <x:v>0.9984260627264183</x:v>
      </x:c>
      <x:c r="K38" s="57" t="n">
        <x:f>IF('Assumptions'!$D$10=0,"n.a.",K9/'Assumptions'!$D$10)</x:f>
        <x:v>0.998201416862305</x:v>
      </x:c>
      <x:c r="L38" s="57" t="n">
        <x:f>IF('Assumptions'!$D$10=0,"n.a.",L9/'Assumptions'!$D$10)</x:f>
        <x:v>0.9979768215435112</x:v>
      </x:c>
      <x:c r="M38" s="57" t="n">
        <x:f>IF('Assumptions'!$D$10=0,"n.a.",M9/'Assumptions'!$D$10)</x:f>
        <x:v>0.997752276758664</x:v>
      </x:c>
      <x:c r="N38" s="57" t="n">
        <x:f>IF('Assumptions'!$D$10=0,"n.a.",N9/'Assumptions'!$D$10)</x:f>
        <x:v>0.9975277824963933</x:v>
      </x:c>
      <x:c r="O38" s="57" t="n">
        <x:f>IF('Assumptions'!$D$10=0,"n.a.",O9/'Assumptions'!$D$10)</x:f>
        <x:v>0.9973033387453317</x:v>
      </x:c>
      <x:c r="P38" s="57" t="n">
        <x:f>IF('Assumptions'!$D$10=0,"n.a.",P9/'Assumptions'!$D$10)</x:f>
        <x:v>0.997078945494114</x:v>
      </x:c>
      <x:c r="Q38" s="57" t="n">
        <x:f>IF('Assumptions'!$D$10=0,"n.a.",Q9/'Assumptions'!$D$10)</x:f>
        <x:v>0.9968546027313779</x:v>
      </x:c>
      <x:c r="R38" s="57" t="n">
        <x:f>IF('Assumptions'!$D$10=0,"n.a.",R9/'Assumptions'!$D$10)</x:f>
        <x:v>0.9966303104457636</x:v>
      </x:c>
      <x:c r="S38" s="57" t="n">
        <x:f>IF('Assumptions'!$D$10=0,"n.a.",S9/'Assumptions'!$D$10)</x:f>
        <x:v>0.9964060686259135</x:v>
      </x:c>
      <x:c r="T38" s="57" t="n">
        <x:f>IF('Assumptions'!$D$10=0,"n.a.",T9/'Assumptions'!$D$10)</x:f>
        <x:v>0.9961818772604727</x:v>
      </x:c>
      <x:c r="U38" s="57" t="n">
        <x:f>IF('Assumptions'!$D$10=0,"n.a.",U9/'Assumptions'!$D$10)</x:f>
        <x:v>0.9959577363380892</x:v>
      </x:c>
      <x:c r="V38" s="57" t="n">
        <x:f>IF('Assumptions'!$D$10=0,"n.a.",V9/'Assumptions'!$D$10)</x:f>
        <x:v>0.9957336458474131</x:v>
      </x:c>
      <x:c r="W38" s="57" t="n">
        <x:f>IF('Assumptions'!$D$10=0,"n.a.",W9/'Assumptions'!$D$10)</x:f>
        <x:v>0.9955096057770976</x:v>
      </x:c>
      <x:c r="X38" s="57" t="n">
        <x:f>IF('Assumptions'!$D$10=0,"n.a.",X9/'Assumptions'!$D$10)</x:f>
        <x:v>0.9952856161157979</x:v>
      </x:c>
      <x:c r="Y38" s="57" t="n">
        <x:f>IF('Assumptions'!$D$10=0,"n.a.",Y9/'Assumptions'!$D$10)</x:f>
        <x:v>0.995061676852172</x:v>
      </x:c>
      <x:c r="Z38" s="57" t="n">
        <x:f>IF('Assumptions'!$D$10=0,"n.a.",Z9/'Assumptions'!$D$10)</x:f>
        <x:v>0.9948377879748803</x:v>
      </x:c>
      <x:c r="AA38" s="57" t="n">
        <x:f>IF('Assumptions'!$D$10=0,"n.a.",AA9/'Assumptions'!$D$10)</x:f>
        <x:v>0.9946139494725861</x:v>
      </x:c>
    </x:row>
    <x:row r="39" ht="21" customHeight="1">
      <x:c r="A39" s="1"/>
      <x:c r="B39" s="1"/>
      <x:c r="C39" s="56" t="str">
        <x:v>Annual NRR · year-end only</x:v>
      </x:c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57" t="n">
        <x:f>IF('Assumptions'!$D$10=0,"n.a.",O9/'Assumptions'!$D$10)</x:f>
        <x:v>0.9973033387453317</x:v>
      </x:c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  <x:c r="AA39" s="58" t="n">
        <x:f>IF(O35=0,"n.a.",SUM(AA9:AA21)/O35)</x:f>
        <x:v>0.997303338745332</x:v>
      </x:c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ht="21" customHeight="1">
      <x:c r="A42" s="1"/>
      <x:c r="B42" s="1"/>
      <x:c r="C42" s="1" t="str">
        <x:v>Cohorts track ending MRR, not recognized revenue or lifetime revenue.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ht="21" customHeight="1">
      <x:c r="A43" s="1"/>
      <x:c r="B43" s="1"/>
      <x:c r="C43" s="1" t="str">
        <x:v>Annual NRR excludes customers acquired during that year.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ht="21" customHeight="1">
      <x:c r="A44" s="1"/>
      <x:c r="B44" s="1"/>
      <x:c r="C44" s="1" t="str">
        <x:v>Each existing cohort receives the same selected churn, expansion and contraction rates.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</x:sheetData>
  <x:conditionalFormatting sqref="D9:AA33">
    <x:cfRule type="colorScale" priority="1">
      <x:colorScale>
        <x:cfvo type="min"/>
        <x:cfvo type="percentile" val="50"/>
        <x:cfvo type="max"/>
        <x:color rgb="FFFFFFFF"/>
        <x:color rgb="FFE5EDF7"/>
        <x:color rgb="FFC6D7EC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2" t="str">
        <x:v>Checks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3" t="str">
        <x:v>SIMULATED BUSINESS | 2027–2028 FORECAST | USD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 t="str">
        <x:v>Case selected:</x:v>
      </x:c>
      <x:c r="D5" s="5" t="str">
        <x:f>'Assumptions'!F5</x:f>
        <x:v>Base</x:v>
      </x:c>
      <x:c r="E5" s="6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0"/>
      <x:c r="D7" s="11" t="d">
        <x:v>2027-01-01T00:00:00.000Z</x:v>
      </x:c>
      <x:c r="E7" s="11" t="d">
        <x:v>2027-02-01T00:00:00.000Z</x:v>
      </x:c>
      <x:c r="F7" s="11" t="d">
        <x:v>2027-03-01T00:00:00.000Z</x:v>
      </x:c>
      <x:c r="G7" s="11" t="d">
        <x:v>2027-04-01T00:00:00.000Z</x:v>
      </x:c>
      <x:c r="H7" s="11" t="d">
        <x:v>2027-05-01T00:00:00.000Z</x:v>
      </x:c>
      <x:c r="I7" s="11" t="d">
        <x:v>2027-06-01T00:00:00.000Z</x:v>
      </x:c>
      <x:c r="J7" s="11" t="d">
        <x:v>2027-07-01T00:00:00.000Z</x:v>
      </x:c>
      <x:c r="K7" s="11" t="d">
        <x:v>2027-08-01T00:00:00.000Z</x:v>
      </x:c>
      <x:c r="L7" s="11" t="d">
        <x:v>2027-09-01T00:00:00.000Z</x:v>
      </x:c>
      <x:c r="M7" s="11" t="d">
        <x:v>2027-10-01T00:00:00.000Z</x:v>
      </x:c>
      <x:c r="N7" s="11" t="d">
        <x:v>2027-11-01T00:00:00.000Z</x:v>
      </x:c>
      <x:c r="O7" s="11" t="d">
        <x:v>2027-12-01T00:00:00.000Z</x:v>
      </x:c>
      <x:c r="P7" s="11" t="d">
        <x:v>2028-01-01T00:00:00.000Z</x:v>
      </x:c>
      <x:c r="Q7" s="11" t="d">
        <x:v>2028-02-01T00:00:00.000Z</x:v>
      </x:c>
      <x:c r="R7" s="11" t="d">
        <x:v>2028-03-01T00:00:00.000Z</x:v>
      </x:c>
      <x:c r="S7" s="11" t="d">
        <x:v>2028-04-01T00:00:00.000Z</x:v>
      </x:c>
      <x:c r="T7" s="11" t="d">
        <x:v>2028-05-01T00:00:00.000Z</x:v>
      </x:c>
      <x:c r="U7" s="11" t="d">
        <x:v>2028-06-01T00:00:00.000Z</x:v>
      </x:c>
      <x:c r="V7" s="11" t="d">
        <x:v>2028-07-01T00:00:00.000Z</x:v>
      </x:c>
      <x:c r="W7" s="11" t="d">
        <x:v>2028-08-01T00:00:00.000Z</x:v>
      </x:c>
      <x:c r="X7" s="11" t="d">
        <x:v>2028-09-01T00:00:00.000Z</x:v>
      </x:c>
      <x:c r="Y7" s="11" t="d">
        <x:v>2028-10-01T00:00:00.000Z</x:v>
      </x:c>
      <x:c r="Z7" s="11" t="d">
        <x:v>2028-11-01T00:00:00.000Z</x:v>
      </x:c>
      <x:c r="AA7" s="11" t="d">
        <x:v>2028-12-01T00:00:00.000Z</x:v>
      </x:c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21" customHeight="1">
      <x:c r="A9" s="1"/>
      <x:c r="B9" s="1"/>
      <x:c r="C9" s="1" t="str">
        <x:v>Customer roll-forward difference</x:v>
      </x:c>
      <x:c r="D9" s="51" t="n">
        <x:f>'Revenue'!D15-('Revenue'!D9+'Revenue'!D12-'Revenue'!D14)</x:f>
        <x:v>0</x:v>
      </x:c>
      <x:c r="E9" s="51" t="n">
        <x:f>'Revenue'!E15-('Revenue'!E9+'Revenue'!E12-'Revenue'!E14)</x:f>
        <x:v>0</x:v>
      </x:c>
      <x:c r="F9" s="51" t="n">
        <x:f>'Revenue'!F15-('Revenue'!F9+'Revenue'!F12-'Revenue'!F14)</x:f>
        <x:v>0</x:v>
      </x:c>
      <x:c r="G9" s="51" t="n">
        <x:f>'Revenue'!G15-('Revenue'!G9+'Revenue'!G12-'Revenue'!G14)</x:f>
        <x:v>0</x:v>
      </x:c>
      <x:c r="H9" s="51" t="n">
        <x:f>'Revenue'!H15-('Revenue'!H9+'Revenue'!H12-'Revenue'!H14)</x:f>
        <x:v>0</x:v>
      </x:c>
      <x:c r="I9" s="51" t="n">
        <x:f>'Revenue'!I15-('Revenue'!I9+'Revenue'!I12-'Revenue'!I14)</x:f>
        <x:v>0</x:v>
      </x:c>
      <x:c r="J9" s="51" t="n">
        <x:f>'Revenue'!J15-('Revenue'!J9+'Revenue'!J12-'Revenue'!J14)</x:f>
        <x:v>0</x:v>
      </x:c>
      <x:c r="K9" s="51" t="n">
        <x:f>'Revenue'!K15-('Revenue'!K9+'Revenue'!K12-'Revenue'!K14)</x:f>
        <x:v>0</x:v>
      </x:c>
      <x:c r="L9" s="51" t="n">
        <x:f>'Revenue'!L15-('Revenue'!L9+'Revenue'!L12-'Revenue'!L14)</x:f>
        <x:v>0</x:v>
      </x:c>
      <x:c r="M9" s="51" t="n">
        <x:f>'Revenue'!M15-('Revenue'!M9+'Revenue'!M12-'Revenue'!M14)</x:f>
        <x:v>0</x:v>
      </x:c>
      <x:c r="N9" s="51" t="n">
        <x:f>'Revenue'!N15-('Revenue'!N9+'Revenue'!N12-'Revenue'!N14)</x:f>
        <x:v>0</x:v>
      </x:c>
      <x:c r="O9" s="51" t="n">
        <x:f>'Revenue'!O15-('Revenue'!O9+'Revenue'!O12-'Revenue'!O14)</x:f>
        <x:v>0</x:v>
      </x:c>
      <x:c r="P9" s="51" t="n">
        <x:f>'Revenue'!P15-('Revenue'!P9+'Revenue'!P12-'Revenue'!P14)</x:f>
        <x:v>0</x:v>
      </x:c>
      <x:c r="Q9" s="51" t="n">
        <x:f>'Revenue'!Q15-('Revenue'!Q9+'Revenue'!Q12-'Revenue'!Q14)</x:f>
        <x:v>0</x:v>
      </x:c>
      <x:c r="R9" s="51" t="n">
        <x:f>'Revenue'!R15-('Revenue'!R9+'Revenue'!R12-'Revenue'!R14)</x:f>
        <x:v>0</x:v>
      </x:c>
      <x:c r="S9" s="51" t="n">
        <x:f>'Revenue'!S15-('Revenue'!S9+'Revenue'!S12-'Revenue'!S14)</x:f>
        <x:v>0</x:v>
      </x:c>
      <x:c r="T9" s="51" t="n">
        <x:f>'Revenue'!T15-('Revenue'!T9+'Revenue'!T12-'Revenue'!T14)</x:f>
        <x:v>0</x:v>
      </x:c>
      <x:c r="U9" s="51" t="n">
        <x:f>'Revenue'!U15-('Revenue'!U9+'Revenue'!U12-'Revenue'!U14)</x:f>
        <x:v>0</x:v>
      </x:c>
      <x:c r="V9" s="51" t="n">
        <x:f>'Revenue'!V15-('Revenue'!V9+'Revenue'!V12-'Revenue'!V14)</x:f>
        <x:v>0</x:v>
      </x:c>
      <x:c r="W9" s="51" t="n">
        <x:f>'Revenue'!W15-('Revenue'!W9+'Revenue'!W12-'Revenue'!W14)</x:f>
        <x:v>0</x:v>
      </x:c>
      <x:c r="X9" s="51" t="n">
        <x:f>'Revenue'!X15-('Revenue'!X9+'Revenue'!X12-'Revenue'!X14)</x:f>
        <x:v>0</x:v>
      </x:c>
      <x:c r="Y9" s="51" t="n">
        <x:f>'Revenue'!Y15-('Revenue'!Y9+'Revenue'!Y12-'Revenue'!Y14)</x:f>
        <x:v>0</x:v>
      </x:c>
      <x:c r="Z9" s="51" t="n">
        <x:f>'Revenue'!Z15-('Revenue'!Z9+'Revenue'!Z12-'Revenue'!Z14)</x:f>
        <x:v>0</x:v>
      </x:c>
      <x:c r="AA9" s="51" t="n">
        <x:f>'Revenue'!AA15-('Revenue'!AA9+'Revenue'!AA12-'Revenue'!AA14)</x:f>
        <x:v>0</x:v>
      </x:c>
    </x:row>
    <x:row r="10" ht="21" customHeight="1">
      <x:c r="A10" s="1"/>
      <x:c r="B10" s="1"/>
      <x:c r="C10" s="1" t="str">
        <x:v>MRR bridge difference</x:v>
      </x:c>
      <x:c r="D10" s="51" t="n">
        <x:f>'Revenue'!D23-('Revenue'!D17+'Revenue'!D18-'Revenue'!D19+'Revenue'!D21-'Revenue'!D22)</x:f>
        <x:v>0</x:v>
      </x:c>
      <x:c r="E10" s="51" t="n">
        <x:f>'Revenue'!E23-('Revenue'!E17+'Revenue'!E18-'Revenue'!E19+'Revenue'!E21-'Revenue'!E22)</x:f>
        <x:v>0</x:v>
      </x:c>
      <x:c r="F10" s="51" t="n">
        <x:f>'Revenue'!F23-('Revenue'!F17+'Revenue'!F18-'Revenue'!F19+'Revenue'!F21-'Revenue'!F22)</x:f>
        <x:v>0</x:v>
      </x:c>
      <x:c r="G10" s="51" t="n">
        <x:f>'Revenue'!G23-('Revenue'!G17+'Revenue'!G18-'Revenue'!G19+'Revenue'!G21-'Revenue'!G22)</x:f>
        <x:v>0</x:v>
      </x:c>
      <x:c r="H10" s="51" t="n">
        <x:f>'Revenue'!H23-('Revenue'!H17+'Revenue'!H18-'Revenue'!H19+'Revenue'!H21-'Revenue'!H22)</x:f>
        <x:v>0</x:v>
      </x:c>
      <x:c r="I10" s="51" t="n">
        <x:f>'Revenue'!I23-('Revenue'!I17+'Revenue'!I18-'Revenue'!I19+'Revenue'!I21-'Revenue'!I22)</x:f>
        <x:v>0</x:v>
      </x:c>
      <x:c r="J10" s="51" t="n">
        <x:f>'Revenue'!J23-('Revenue'!J17+'Revenue'!J18-'Revenue'!J19+'Revenue'!J21-'Revenue'!J22)</x:f>
        <x:v>0</x:v>
      </x:c>
      <x:c r="K10" s="51" t="n">
        <x:f>'Revenue'!K23-('Revenue'!K17+'Revenue'!K18-'Revenue'!K19+'Revenue'!K21-'Revenue'!K22)</x:f>
        <x:v>0</x:v>
      </x:c>
      <x:c r="L10" s="51" t="n">
        <x:f>'Revenue'!L23-('Revenue'!L17+'Revenue'!L18-'Revenue'!L19+'Revenue'!L21-'Revenue'!L22)</x:f>
        <x:v>0</x:v>
      </x:c>
      <x:c r="M10" s="51" t="n">
        <x:f>'Revenue'!M23-('Revenue'!M17+'Revenue'!M18-'Revenue'!M19+'Revenue'!M21-'Revenue'!M22)</x:f>
        <x:v>0</x:v>
      </x:c>
      <x:c r="N10" s="51" t="n">
        <x:f>'Revenue'!N23-('Revenue'!N17+'Revenue'!N18-'Revenue'!N19+'Revenue'!N21-'Revenue'!N22)</x:f>
        <x:v>0</x:v>
      </x:c>
      <x:c r="O10" s="51" t="n">
        <x:f>'Revenue'!O23-('Revenue'!O17+'Revenue'!O18-'Revenue'!O19+'Revenue'!O21-'Revenue'!O22)</x:f>
        <x:v>0</x:v>
      </x:c>
      <x:c r="P10" s="51" t="n">
        <x:f>'Revenue'!P23-('Revenue'!P17+'Revenue'!P18-'Revenue'!P19+'Revenue'!P21-'Revenue'!P22)</x:f>
        <x:v>0</x:v>
      </x:c>
      <x:c r="Q10" s="51" t="n">
        <x:f>'Revenue'!Q23-('Revenue'!Q17+'Revenue'!Q18-'Revenue'!Q19+'Revenue'!Q21-'Revenue'!Q22)</x:f>
        <x:v>0</x:v>
      </x:c>
      <x:c r="R10" s="51" t="n">
        <x:f>'Revenue'!R23-('Revenue'!R17+'Revenue'!R18-'Revenue'!R19+'Revenue'!R21-'Revenue'!R22)</x:f>
        <x:v>0</x:v>
      </x:c>
      <x:c r="S10" s="51" t="n">
        <x:f>'Revenue'!S23-('Revenue'!S17+'Revenue'!S18-'Revenue'!S19+'Revenue'!S21-'Revenue'!S22)</x:f>
        <x:v>0</x:v>
      </x:c>
      <x:c r="T10" s="51" t="n">
        <x:f>'Revenue'!T23-('Revenue'!T17+'Revenue'!T18-'Revenue'!T19+'Revenue'!T21-'Revenue'!T22)</x:f>
        <x:v>0</x:v>
      </x:c>
      <x:c r="U10" s="51" t="n">
        <x:f>'Revenue'!U23-('Revenue'!U17+'Revenue'!U18-'Revenue'!U19+'Revenue'!U21-'Revenue'!U22)</x:f>
        <x:v>0</x:v>
      </x:c>
      <x:c r="V10" s="51" t="n">
        <x:f>'Revenue'!V23-('Revenue'!V17+'Revenue'!V18-'Revenue'!V19+'Revenue'!V21-'Revenue'!V22)</x:f>
        <x:v>0</x:v>
      </x:c>
      <x:c r="W10" s="51" t="n">
        <x:f>'Revenue'!W23-('Revenue'!W17+'Revenue'!W18-'Revenue'!W19+'Revenue'!W21-'Revenue'!W22)</x:f>
        <x:v>5.820766091346741e-11</x:v>
      </x:c>
      <x:c r="X10" s="51" t="n">
        <x:f>'Revenue'!X23-('Revenue'!X17+'Revenue'!X18-'Revenue'!X19+'Revenue'!X21-'Revenue'!X22)</x:f>
        <x:v>0</x:v>
      </x:c>
      <x:c r="Y10" s="51" t="n">
        <x:f>'Revenue'!Y23-('Revenue'!Y17+'Revenue'!Y18-'Revenue'!Y19+'Revenue'!Y21-'Revenue'!Y22)</x:f>
        <x:v>0</x:v>
      </x:c>
      <x:c r="Z10" s="51" t="n">
        <x:f>'Revenue'!Z23-('Revenue'!Z17+'Revenue'!Z18-'Revenue'!Z19+'Revenue'!Z21-'Revenue'!Z22)</x:f>
        <x:v>0</x:v>
      </x:c>
      <x:c r="AA10" s="51" t="n">
        <x:f>'Revenue'!AA23-('Revenue'!AA17+'Revenue'!AA18-'Revenue'!AA19+'Revenue'!AA21-'Revenue'!AA22)</x:f>
        <x:v>0</x:v>
      </x:c>
    </x:row>
    <x:row r="11" ht="21" customHeight="1">
      <x:c r="A11" s="1"/>
      <x:c r="B11" s="1"/>
      <x:c r="C11" s="1" t="str">
        <x:v>Cohort / ending MRR difference</x:v>
      </x:c>
      <x:c r="D11" s="51" t="n">
        <x:f>'Cohorts'!D35-'Revenue'!D23</x:f>
        <x:v>1.4551915228366852e-11</x:v>
      </x:c>
      <x:c r="E11" s="51" t="n">
        <x:f>'Cohorts'!E35-'Revenue'!E23</x:f>
        <x:v>2.9103830456733704e-11</x:v>
      </x:c>
      <x:c r="F11" s="51" t="n">
        <x:f>'Cohorts'!F35-'Revenue'!F23</x:f>
        <x:v>2.9103830456733704e-11</x:v>
      </x:c>
      <x:c r="G11" s="51" t="n">
        <x:f>'Cohorts'!G35-'Revenue'!G23</x:f>
        <x:v>2.9103830456733704e-11</x:v>
      </x:c>
      <x:c r="H11" s="51" t="n">
        <x:f>'Cohorts'!H35-'Revenue'!H23</x:f>
        <x:v>2.9103830456733704e-11</x:v>
      </x:c>
      <x:c r="I11" s="51" t="n">
        <x:f>'Cohorts'!I35-'Revenue'!I23</x:f>
        <x:v>5.820766091346741e-11</x:v>
      </x:c>
      <x:c r="J11" s="51" t="n">
        <x:f>'Cohorts'!J35-'Revenue'!J23</x:f>
        <x:v>5.820766091346741e-11</x:v>
      </x:c>
      <x:c r="K11" s="51" t="n">
        <x:f>'Cohorts'!K35-'Revenue'!K23</x:f>
        <x:v>8.731149137020111e-11</x:v>
      </x:c>
      <x:c r="L11" s="51" t="n">
        <x:f>'Cohorts'!L35-'Revenue'!L23</x:f>
        <x:v>8.731149137020111e-11</x:v>
      </x:c>
      <x:c r="M11" s="51" t="n">
        <x:f>'Cohorts'!M35-'Revenue'!M23</x:f>
        <x:v>1.1641532182693481e-10</x:v>
      </x:c>
      <x:c r="N11" s="51" t="n">
        <x:f>'Cohorts'!N35-'Revenue'!N23</x:f>
        <x:v>1.7462298274040222e-10</x:v>
      </x:c>
      <x:c r="O11" s="51" t="n">
        <x:f>'Cohorts'!O35-'Revenue'!O23</x:f>
        <x:v>2.0372681319713593e-10</x:v>
      </x:c>
      <x:c r="P11" s="51" t="n">
        <x:f>'Cohorts'!P35-'Revenue'!P23</x:f>
        <x:v>1.4551915228366852e-10</x:v>
      </x:c>
      <x:c r="Q11" s="51" t="n">
        <x:f>'Cohorts'!Q35-'Revenue'!Q23</x:f>
        <x:v>2.3283064365386963e-10</x:v>
      </x:c>
      <x:c r="R11" s="51" t="n">
        <x:f>'Cohorts'!R35-'Revenue'!R23</x:f>
        <x:v>1.7462298274040222e-10</x:v>
      </x:c>
      <x:c r="S11" s="51" t="n">
        <x:f>'Cohorts'!S35-'Revenue'!S23</x:f>
        <x:v>2.3283064365386963e-10</x:v>
      </x:c>
      <x:c r="T11" s="51" t="n">
        <x:f>'Cohorts'!T35-'Revenue'!T23</x:f>
        <x:v>2.3283064365386963e-10</x:v>
      </x:c>
      <x:c r="U11" s="51" t="n">
        <x:f>'Cohorts'!U35-'Revenue'!U23</x:f>
        <x:v>2.9103830456733704e-10</x:v>
      </x:c>
      <x:c r="V11" s="51" t="n">
        <x:f>'Cohorts'!V35-'Revenue'!V23</x:f>
        <x:v>2.9103830456733704e-10</x:v>
      </x:c>
      <x:c r="W11" s="51" t="n">
        <x:f>'Cohorts'!W35-'Revenue'!W23</x:f>
        <x:v>3.4924596548080444e-10</x:v>
      </x:c>
      <x:c r="X11" s="51" t="n">
        <x:f>'Cohorts'!X35-'Revenue'!X23</x:f>
        <x:v>3.4924596548080444e-10</x:v>
      </x:c>
      <x:c r="Y11" s="51" t="n">
        <x:f>'Cohorts'!Y35-'Revenue'!Y23</x:f>
        <x:v>4.0745362639427185e-10</x:v>
      </x:c>
      <x:c r="Z11" s="51" t="n">
        <x:f>'Cohorts'!Z35-'Revenue'!Z23</x:f>
        <x:v>3.4924596548080444e-10</x:v>
      </x:c>
      <x:c r="AA11" s="51" t="n">
        <x:f>'Cohorts'!AA35-'Revenue'!AA23</x:f>
        <x:v>5.238689482212067e-10</x:v>
      </x:c>
    </x:row>
    <x:row r="12" ht="21" customHeight="1">
      <x:c r="A12" s="1"/>
      <x:c r="B12" s="1"/>
      <x:c r="C12" s="1" t="str">
        <x:v>Cash roll-forward difference</x:v>
      </x:c>
      <x:c r="D12" s="51" t="n">
        <x:f>'Operating'!D24-('Operating'!D21+'Operating'!D18-'Operating'!D22)</x:f>
        <x:v>0</x:v>
      </x:c>
      <x:c r="E12" s="51" t="n">
        <x:f>'Operating'!E24-('Operating'!E21+'Operating'!E18-'Operating'!E22)</x:f>
        <x:v>0</x:v>
      </x:c>
      <x:c r="F12" s="51" t="n">
        <x:f>'Operating'!F24-('Operating'!F21+'Operating'!F18-'Operating'!F22)</x:f>
        <x:v>0</x:v>
      </x:c>
      <x:c r="G12" s="51" t="n">
        <x:f>'Operating'!G24-('Operating'!G21+'Operating'!G18-'Operating'!G22)</x:f>
        <x:v>0</x:v>
      </x:c>
      <x:c r="H12" s="51" t="n">
        <x:f>'Operating'!H24-('Operating'!H21+'Operating'!H18-'Operating'!H22)</x:f>
        <x:v>0</x:v>
      </x:c>
      <x:c r="I12" s="51" t="n">
        <x:f>'Operating'!I24-('Operating'!I21+'Operating'!I18-'Operating'!I22)</x:f>
        <x:v>0</x:v>
      </x:c>
      <x:c r="J12" s="51" t="n">
        <x:f>'Operating'!J24-('Operating'!J21+'Operating'!J18-'Operating'!J22)</x:f>
        <x:v>0</x:v>
      </x:c>
      <x:c r="K12" s="51" t="n">
        <x:f>'Operating'!K24-('Operating'!K21+'Operating'!K18-'Operating'!K22)</x:f>
        <x:v>0</x:v>
      </x:c>
      <x:c r="L12" s="51" t="n">
        <x:f>'Operating'!L24-('Operating'!L21+'Operating'!L18-'Operating'!L22)</x:f>
        <x:v>0</x:v>
      </x:c>
      <x:c r="M12" s="51" t="n">
        <x:f>'Operating'!M24-('Operating'!M21+'Operating'!M18-'Operating'!M22)</x:f>
        <x:v>0</x:v>
      </x:c>
      <x:c r="N12" s="51" t="n">
        <x:f>'Operating'!N24-('Operating'!N21+'Operating'!N18-'Operating'!N22)</x:f>
        <x:v>0</x:v>
      </x:c>
      <x:c r="O12" s="51" t="n">
        <x:f>'Operating'!O24-('Operating'!O21+'Operating'!O18-'Operating'!O22)</x:f>
        <x:v>0</x:v>
      </x:c>
      <x:c r="P12" s="51" t="n">
        <x:f>'Operating'!P24-('Operating'!P21+'Operating'!P18-'Operating'!P22)</x:f>
        <x:v>0</x:v>
      </x:c>
      <x:c r="Q12" s="51" t="n">
        <x:f>'Operating'!Q24-('Operating'!Q21+'Operating'!Q18-'Operating'!Q22)</x:f>
        <x:v>0</x:v>
      </x:c>
      <x:c r="R12" s="51" t="n">
        <x:f>'Operating'!R24-('Operating'!R21+'Operating'!R18-'Operating'!R22)</x:f>
        <x:v>0</x:v>
      </x:c>
      <x:c r="S12" s="51" t="n">
        <x:f>'Operating'!S24-('Operating'!S21+'Operating'!S18-'Operating'!S22)</x:f>
        <x:v>0</x:v>
      </x:c>
      <x:c r="T12" s="51" t="n">
        <x:f>'Operating'!T24-('Operating'!T21+'Operating'!T18-'Operating'!T22)</x:f>
        <x:v>0</x:v>
      </x:c>
      <x:c r="U12" s="51" t="n">
        <x:f>'Operating'!U24-('Operating'!U21+'Operating'!U18-'Operating'!U22)</x:f>
        <x:v>0</x:v>
      </x:c>
      <x:c r="V12" s="51" t="n">
        <x:f>'Operating'!V24-('Operating'!V21+'Operating'!V18-'Operating'!V22)</x:f>
        <x:v>0</x:v>
      </x:c>
      <x:c r="W12" s="51" t="n">
        <x:f>'Operating'!W24-('Operating'!W21+'Operating'!W18-'Operating'!W22)</x:f>
        <x:v>0</x:v>
      </x:c>
      <x:c r="X12" s="51" t="n">
        <x:f>'Operating'!X24-('Operating'!X21+'Operating'!X18-'Operating'!X22)</x:f>
        <x:v>0</x:v>
      </x:c>
      <x:c r="Y12" s="51" t="n">
        <x:f>'Operating'!Y24-('Operating'!Y21+'Operating'!Y18-'Operating'!Y22)</x:f>
        <x:v>0</x:v>
      </x:c>
      <x:c r="Z12" s="51" t="n">
        <x:f>'Operating'!Z24-('Operating'!Z21+'Operating'!Z18-'Operating'!Z22)</x:f>
        <x:v>0</x:v>
      </x:c>
      <x:c r="AA12" s="51" t="n">
        <x:f>'Operating'!AA24-('Operating'!AA21+'Operating'!AA18-'Operating'!AA22)</x:f>
        <x:v>0</x:v>
      </x:c>
    </x:row>
    <x:row r="13" ht="21" customHeight="1">
      <x:c r="A13" s="1"/>
      <x:c r="B13" s="1"/>
      <x:c r="C13" s="1" t="str">
        <x:v>Revenue timing difference</x:v>
      </x:c>
      <x:c r="D13" s="51" t="n">
        <x:f>'Revenue'!D25-('Revenue'!D17+'Revenue'!D23)/2</x:f>
        <x:v>0</x:v>
      </x:c>
      <x:c r="E13" s="51" t="n">
        <x:f>'Revenue'!E25-('Revenue'!E17+'Revenue'!E23)/2</x:f>
        <x:v>0</x:v>
      </x:c>
      <x:c r="F13" s="51" t="n">
        <x:f>'Revenue'!F25-('Revenue'!F17+'Revenue'!F23)/2</x:f>
        <x:v>0</x:v>
      </x:c>
      <x:c r="G13" s="51" t="n">
        <x:f>'Revenue'!G25-('Revenue'!G17+'Revenue'!G23)/2</x:f>
        <x:v>0</x:v>
      </x:c>
      <x:c r="H13" s="51" t="n">
        <x:f>'Revenue'!H25-('Revenue'!H17+'Revenue'!H23)/2</x:f>
        <x:v>0</x:v>
      </x:c>
      <x:c r="I13" s="51" t="n">
        <x:f>'Revenue'!I25-('Revenue'!I17+'Revenue'!I23)/2</x:f>
        <x:v>0</x:v>
      </x:c>
      <x:c r="J13" s="51" t="n">
        <x:f>'Revenue'!J25-('Revenue'!J17+'Revenue'!J23)/2</x:f>
        <x:v>0</x:v>
      </x:c>
      <x:c r="K13" s="51" t="n">
        <x:f>'Revenue'!K25-('Revenue'!K17+'Revenue'!K23)/2</x:f>
        <x:v>0</x:v>
      </x:c>
      <x:c r="L13" s="51" t="n">
        <x:f>'Revenue'!L25-('Revenue'!L17+'Revenue'!L23)/2</x:f>
        <x:v>0</x:v>
      </x:c>
      <x:c r="M13" s="51" t="n">
        <x:f>'Revenue'!M25-('Revenue'!M17+'Revenue'!M23)/2</x:f>
        <x:v>0</x:v>
      </x:c>
      <x:c r="N13" s="51" t="n">
        <x:f>'Revenue'!N25-('Revenue'!N17+'Revenue'!N23)/2</x:f>
        <x:v>0</x:v>
      </x:c>
      <x:c r="O13" s="51" t="n">
        <x:f>'Revenue'!O25-('Revenue'!O17+'Revenue'!O23)/2</x:f>
        <x:v>0</x:v>
      </x:c>
      <x:c r="P13" s="51" t="n">
        <x:f>'Revenue'!P25-('Revenue'!P17+'Revenue'!P23)/2</x:f>
        <x:v>0</x:v>
      </x:c>
      <x:c r="Q13" s="51" t="n">
        <x:f>'Revenue'!Q25-('Revenue'!Q17+'Revenue'!Q23)/2</x:f>
        <x:v>0</x:v>
      </x:c>
      <x:c r="R13" s="51" t="n">
        <x:f>'Revenue'!R25-('Revenue'!R17+'Revenue'!R23)/2</x:f>
        <x:v>0</x:v>
      </x:c>
      <x:c r="S13" s="51" t="n">
        <x:f>'Revenue'!S25-('Revenue'!S17+'Revenue'!S23)/2</x:f>
        <x:v>0</x:v>
      </x:c>
      <x:c r="T13" s="51" t="n">
        <x:f>'Revenue'!T25-('Revenue'!T17+'Revenue'!T23)/2</x:f>
        <x:v>0</x:v>
      </x:c>
      <x:c r="U13" s="51" t="n">
        <x:f>'Revenue'!U25-('Revenue'!U17+'Revenue'!U23)/2</x:f>
        <x:v>0</x:v>
      </x:c>
      <x:c r="V13" s="51" t="n">
        <x:f>'Revenue'!V25-('Revenue'!V17+'Revenue'!V23)/2</x:f>
        <x:v>0</x:v>
      </x:c>
      <x:c r="W13" s="51" t="n">
        <x:f>'Revenue'!W25-('Revenue'!W17+'Revenue'!W23)/2</x:f>
        <x:v>0</x:v>
      </x:c>
      <x:c r="X13" s="51" t="n">
        <x:f>'Revenue'!X25-('Revenue'!X17+'Revenue'!X23)/2</x:f>
        <x:v>0</x:v>
      </x:c>
      <x:c r="Y13" s="51" t="n">
        <x:f>'Revenue'!Y25-('Revenue'!Y17+'Revenue'!Y23)/2</x:f>
        <x:v>0</x:v>
      </x:c>
      <x:c r="Z13" s="51" t="n">
        <x:f>'Revenue'!Z25-('Revenue'!Z17+'Revenue'!Z23)/2</x:f>
        <x:v>0</x:v>
      </x:c>
      <x:c r="AA13" s="51" t="n">
        <x:f>'Revenue'!AA25-('Revenue'!AA17+'Revenue'!AA23)/2</x:f>
        <x:v>0</x:v>
      </x:c>
    </x:row>
    <x:row r="14" ht="21" customHeight="1">
      <x:c r="A14" s="1"/>
      <x:c r="B14" s="1"/>
      <x:c r="C14" s="1" t="str">
        <x:v>Gross profit less opex difference</x:v>
      </x:c>
      <x:c r="D14" s="51" t="n">
        <x:f>'Operating'!D18-('Operating'!D12-SUM('Operating'!D14:D16))</x:f>
        <x:v>0</x:v>
      </x:c>
      <x:c r="E14" s="51" t="n">
        <x:f>'Operating'!E18-('Operating'!E12-SUM('Operating'!E14:E16))</x:f>
        <x:v>0</x:v>
      </x:c>
      <x:c r="F14" s="51" t="n">
        <x:f>'Operating'!F18-('Operating'!F12-SUM('Operating'!F14:F16))</x:f>
        <x:v>0</x:v>
      </x:c>
      <x:c r="G14" s="51" t="n">
        <x:f>'Operating'!G18-('Operating'!G12-SUM('Operating'!G14:G16))</x:f>
        <x:v>0</x:v>
      </x:c>
      <x:c r="H14" s="51" t="n">
        <x:f>'Operating'!H18-('Operating'!H12-SUM('Operating'!H14:H16))</x:f>
        <x:v>0</x:v>
      </x:c>
      <x:c r="I14" s="51" t="n">
        <x:f>'Operating'!I18-('Operating'!I12-SUM('Operating'!I14:I16))</x:f>
        <x:v>0</x:v>
      </x:c>
      <x:c r="J14" s="51" t="n">
        <x:f>'Operating'!J18-('Operating'!J12-SUM('Operating'!J14:J16))</x:f>
        <x:v>0</x:v>
      </x:c>
      <x:c r="K14" s="51" t="n">
        <x:f>'Operating'!K18-('Operating'!K12-SUM('Operating'!K14:K16))</x:f>
        <x:v>0</x:v>
      </x:c>
      <x:c r="L14" s="51" t="n">
        <x:f>'Operating'!L18-('Operating'!L12-SUM('Operating'!L14:L16))</x:f>
        <x:v>0</x:v>
      </x:c>
      <x:c r="M14" s="51" t="n">
        <x:f>'Operating'!M18-('Operating'!M12-SUM('Operating'!M14:M16))</x:f>
        <x:v>0</x:v>
      </x:c>
      <x:c r="N14" s="51" t="n">
        <x:f>'Operating'!N18-('Operating'!N12-SUM('Operating'!N14:N16))</x:f>
        <x:v>0</x:v>
      </x:c>
      <x:c r="O14" s="51" t="n">
        <x:f>'Operating'!O18-('Operating'!O12-SUM('Operating'!O14:O16))</x:f>
        <x:v>0</x:v>
      </x:c>
      <x:c r="P14" s="51" t="n">
        <x:f>'Operating'!P18-('Operating'!P12-SUM('Operating'!P14:P16))</x:f>
        <x:v>0</x:v>
      </x:c>
      <x:c r="Q14" s="51" t="n">
        <x:f>'Operating'!Q18-('Operating'!Q12-SUM('Operating'!Q14:Q16))</x:f>
        <x:v>0</x:v>
      </x:c>
      <x:c r="R14" s="51" t="n">
        <x:f>'Operating'!R18-('Operating'!R12-SUM('Operating'!R14:R16))</x:f>
        <x:v>0</x:v>
      </x:c>
      <x:c r="S14" s="51" t="n">
        <x:f>'Operating'!S18-('Operating'!S12-SUM('Operating'!S14:S16))</x:f>
        <x:v>0</x:v>
      </x:c>
      <x:c r="T14" s="51" t="n">
        <x:f>'Operating'!T18-('Operating'!T12-SUM('Operating'!T14:T16))</x:f>
        <x:v>0</x:v>
      </x:c>
      <x:c r="U14" s="51" t="n">
        <x:f>'Operating'!U18-('Operating'!U12-SUM('Operating'!U14:U16))</x:f>
        <x:v>0</x:v>
      </x:c>
      <x:c r="V14" s="51" t="n">
        <x:f>'Operating'!V18-('Operating'!V12-SUM('Operating'!V14:V16))</x:f>
        <x:v>0</x:v>
      </x:c>
      <x:c r="W14" s="51" t="n">
        <x:f>'Operating'!W18-('Operating'!W12-SUM('Operating'!W14:W16))</x:f>
        <x:v>0</x:v>
      </x:c>
      <x:c r="X14" s="51" t="n">
        <x:f>'Operating'!X18-('Operating'!X12-SUM('Operating'!X14:X16))</x:f>
        <x:v>0</x:v>
      </x:c>
      <x:c r="Y14" s="51" t="n">
        <x:f>'Operating'!Y18-('Operating'!Y12-SUM('Operating'!Y14:Y16))</x:f>
        <x:v>0</x:v>
      </x:c>
      <x:c r="Z14" s="51" t="n">
        <x:f>'Operating'!Z18-('Operating'!Z12-SUM('Operating'!Z14:Z16))</x:f>
        <x:v>0</x:v>
      </x:c>
      <x:c r="AA14" s="51" t="n">
        <x:f>'Operating'!AA18-('Operating'!AA12-SUM('Operating'!AA14:AA16))</x:f>
        <x:v>0</x:v>
      </x:c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</x:row>
    <x:row r="17" ht="21" customHeight="1">
      <x:c r="A17" s="1"/>
      <x:c r="B17" s="1"/>
      <x:c r="C17" s="1" t="str">
        <x:v>Differences should be zero within $0.01 / 0.01 customers.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</x:row>
    <x:row r="18" ht="21" customHeight="1">
      <x:c r="A18" s="1"/>
      <x:c r="B18" s="1"/>
      <x:c r="C18" s="1" t="str">
        <x:v>Checks observe the model; no forecast or dashboard calculation depends on this tab.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</x:sheetData>
  <x:conditionalFormatting sqref="D9:AA14">
    <x:cfRule type="expression" dxfId="1" priority="1">
      <x:formula>ABS(D9)&gt;0.01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AA6B3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2" t="str">
        <x:v>How to review this model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3" t="str">
        <x:v>SIMULATED BUSINESS | 2027–2028 FORECAST | USD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 t="str">
        <x:v>Personal portfolio simulation for Vannetta Haney. Built with Codex assistance.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" t="str">
        <x:v>Purpose: evaluate subscription growth, retention, acquisition efficiency and liquidity.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</x:row>
    <x:row r="8" ht="21" customHeight="1">
      <x:c r="A8" s="1"/>
      <x:c r="B8" s="1"/>
      <x:c r="C8" s="1" t="str">
        <x:v>This is a fictional B2B subscription business; no employer or client data is used.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21" customHeight="1">
      <x:c r="A9" s="1"/>
      <x:c r="B9" s="1"/>
      <x:c r="C9" s="1" t="str">
        <x:v>Start on Dashboard. In Assumptions!D5, select 1 Base, 2 Downside, or 3 Upside.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</x:row>
    <x:row r="10" ht="21" customHeight="1">
      <x:c r="A10" s="1"/>
      <x:c r="B10" s="1"/>
      <x:c r="C10" s="1" t="str">
        <x:v>Blue numeric cells are editable. Pale amber identifies case assumptions and opening balances.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</x:row>
    <x:row r="11" ht="21" customHeight="1">
      <x:c r="A11" s="1"/>
      <x:c r="B11" s="1"/>
      <x:c r="C11" s="1" t="str">
        <x:v>Each driver has one Active row above its Base, Downside and Upside inputs.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</x:row>
    <x:row r="12" ht="21" customHeight="1">
      <x:c r="A12" s="1"/>
      <x:c r="B12" s="1"/>
      <x:c r="C12" s="1" t="str">
        <x:v>Monthly inputs are dated and editable. One revenue / operating build serves the selected case.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</x:row>
    <x:row r="13" ht="21" customHeight="1">
      <x:c r="A13" s="1"/>
      <x:c r="B13" s="1"/>
      <x:c r="C13" s="1" t="str">
        <x:v>ARR = ending MRR × 12. ARR is a run rate, not recognized annual revenue.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</x:row>
    <x:row r="14" ht="21" customHeight="1">
      <x:c r="A14" s="1"/>
      <x:c r="B14" s="1"/>
      <x:c r="C14" s="1" t="str">
        <x:v>Revenue = average beginning and ending MRR, assuming changes occur evenly during the month.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</x:row>
    <x:row r="15" ht="21" customHeight="1">
      <x:c r="A15" s="1"/>
      <x:c r="B15" s="1"/>
      <x:c r="C15" s="1" t="str">
        <x:v>New customers = acquisition S&amp;M / target CAC, rounded down. All S&amp;M is expensed.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</x:row>
    <x:row r="16" ht="21" customHeight="1">
      <x:c r="A16" s="1"/>
      <x:c r="B16" s="1"/>
      <x:c r="C16" s="1" t="str">
        <x:v>Realized CAC = full acquisition S&amp;M / new customers; no sales-cycle lag is assumed.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</x:row>
    <x:row r="17" ht="21" customHeight="1">
      <x:c r="A17" s="1"/>
      <x:c r="B17" s="1"/>
      <x:c r="C17" s="1" t="str">
        <x:v>All S&amp;M is acquisition-related; service and customer success are included in cost of revenue.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</x:row>
    <x:row r="18" ht="21" customHeight="1">
      <x:c r="A18" s="1"/>
      <x:c r="B18" s="1"/>
      <x:c r="C18" s="1" t="str">
        <x:v>Customer churn removes beginning customers and MRR pro rata. Forecast churn can be fractional.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</x:row>
    <x:row r="19" ht="21" customHeight="1">
      <x:c r="A19" s="1"/>
      <x:c r="B19" s="1"/>
      <x:c r="C19" s="1" t="str">
        <x:v>Expansion and contraction each apply to MRR retained after logo churn, excluding new customers.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</x:row>
    <x:row r="20" ht="21" customHeight="1">
      <x:c r="A20" s="1"/>
      <x:c r="B20" s="1"/>
      <x:c r="C20" s="1" t="str">
        <x:v>Monthly GRR excludes expansion and new customers. Monthly NRR includes expansion, excludes new.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</x:row>
    <x:row r="21" ht="21" customHeight="1">
      <x:c r="A21" s="1"/>
      <x:c r="B21" s="1"/>
      <x:c r="C21" s="1" t="str">
        <x:v>Annual NRR follows only customers present at the prior year-end, using cohort ending MRR.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</x:row>
    <x:row r="22" ht="21" customHeight="1">
      <x:c r="A22" s="1"/>
      <x:c r="B22" s="1"/>
      <x:c r="C22" s="1" t="str">
        <x:v>Cohorts show MRR by acquisition month. Identical retention rates apply across cohorts.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</x:row>
    <x:row r="23" ht="21" customHeight="1">
      <x:c r="A23" s="1"/>
      <x:c r="B23" s="1"/>
      <x:c r="C23" s="1" t="str">
        <x:v>LTV proxy = new-customer monthly ARPA × gross margin / monthly logo churn.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</x:row>
    <x:row r="24" ht="21" customHeight="1">
      <x:c r="A24" s="1"/>
      <x:c r="B24" s="1"/>
      <x:c r="C24" s="1" t="str">
        <x:v>This gross-profit LTV approximation ignores expansion, contraction and discounting.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</x:row>
    <x:row r="25" ht="21" customHeight="1">
      <x:c r="A25" s="1"/>
      <x:c r="B25" s="1"/>
      <x:c r="C25" s="1" t="str">
        <x:v>CAC payback = realized CAC / new-customer monthly gross profit; measured in months.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</x:row>
    <x:row r="26" ht="21" customHeight="1">
      <x:c r="A26" s="1"/>
      <x:c r="B26" s="1"/>
      <x:c r="C26" s="1" t="str">
        <x:v>Annual CAC and payback use annual spend and matching acquired-customer totals; no average of ratios.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</x:row>
    <x:row r="27" ht="21" customHeight="1">
      <x:c r="A27" s="1"/>
      <x:c r="B27" s="1"/>
      <x:c r="C27" s="1" t="str">
        <x:v>Operating expenses are cash-based. EBITDA here excludes D&amp;A, taxes, financing and interest.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</x:row>
    <x:row r="28" ht="21" customHeight="1">
      <x:c r="A28" s="1"/>
      <x:c r="B28" s="1"/>
      <x:c r="C28" s="1" t="str">
        <x:v>Simplified FCF = EBITDA minus cash capex. Collections equal recognized revenue each month.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</x:row>
    <x:row r="29" ht="21" customHeight="1">
      <x:c r="A29" s="1"/>
      <x:c r="B29" s="1"/>
      <x:c r="C29" s="1" t="str">
        <x:v>No working capital, annual prepayments, deferred revenue, debt or financing is modeled.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</x:row>
    <x:row r="30" ht="21" customHeight="1">
      <x:c r="A30" s="1"/>
      <x:c r="B30" s="1"/>
      <x:c r="C30" s="1" t="str">
        <x:v>Negative cash indicates a funding gap; the model does not insert financing automatically.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</x:row>
    <x:row r="31" ht="21" customHeight="1">
      <x:c r="A31" s="1"/>
      <x:c r="B31" s="1"/>
      <x:c r="C31" s="1" t="str">
        <x:v>Runway uses current monthly burn; n.a. means cash-generating or an undefined denominator.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</x:row>
    <x:row r="32" ht="21" customHeight="1">
      <x:c r="A32" s="1"/>
      <x:c r="B32" s="1"/>
      <x:c r="C32" s="1" t="str">
        <x:v>Zero churn makes the finite LTV approximation unavailable (n.a.), rather than infinite.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</x:row>
    <x:row r="33" ht="21" customHeight="1">
      <x:c r="A33" s="1"/>
      <x:c r="B33" s="1"/>
      <x:c r="C33" s="1" t="str">
        <x:v>Checks reconcile customers, MRR, cohorts, revenue timing, EBITDA and cash.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</x:row>
    <x:row r="34" ht="21" customHeight="1">
      <x:c r="A34" s="1"/>
      <x:c r="B34" s="1"/>
      <x:c r="C34" s="1" t="str">
        <x:v>Exercise: switch to Downside; inspect annual NRR, CAC payback and minimum monthly cash.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ht="21" customHeight="1">
      <x:c r="A35" s="1"/>
      <x:c r="B35" s="1"/>
      <x:c r="C35" s="1" t="str">
        <x:v>Then improve churn or CAC in a later month and trace the impact through cohort retention and cash.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</x:row>
    <x:row r="36" ht="21" customHeight="1">
      <x:c r="A36" s="1"/>
      <x:c r="B36" s="1"/>
      <x:c r="C36" s="1" t="str">
        <x:v>Use synthetic results as a demonstration. Do not describe them as past employer achievements.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</x:row>
    <x:row r="37" ht="21" customHeight="1">
      <x:c r="A37" s="1"/>
      <x:c r="B37" s="1"/>
      <x:c r="C37" s="1" t="str">
        <x:v>Reference definitions and assumptions provenance are recorded on Assumptions.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ht="21" customHeight="1">
      <x:c r="A38" s="1"/>
      <x:c r="B38" s="1"/>
      <x:c r="C38" s="1" t="str">
        <x:v>Recalculation and input-change checks were performed in Artifact Tool; Excel for Mac not tested.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</x:sheetData>
  <x:pageMargins left="0.7" right="0.7" top="0.75" bottom="0.75" header="0.3" footer="0.3"/>
</x:worksheet>
</file>