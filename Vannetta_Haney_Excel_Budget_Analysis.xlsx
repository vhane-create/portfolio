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4c090f73cb40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 vs Actual" sheetId="1" r:id="R3bc39527cdb7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;($#,##0);&quot;–&quot;"/>
    <x:numFmt numFmtId="201" formatCode="0.0%;(0.0%);&quot;–&quot;"/>
  </x:numFmts>
  <x:fonts count="10">
    <x:font>
      <x:sz val="11"/>
      <x:name val="Carlito"/>
    </x:font>
    <x:font>
      <x:sz val="11"/>
      <x:name val="Arial"/>
    </x:font>
    <x:font>
      <x:sz val="11"/>
      <x:color rgb="FF183329"/>
      <x:name val="Arial"/>
    </x:font>
    <x:font>
      <x:sz val="17"/>
      <x:color rgb="FF183329"/>
      <x:name val="Arial"/>
    </x:font>
    <x:font>
      <x:b/>
      <x:sz val="17"/>
      <x:color rgb="FF183329"/>
      <x:name val="Arial"/>
    </x:font>
    <x:font>
      <x:i/>
      <x:sz val="11"/>
      <x:color rgb="FF183329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b/>
      <x:sz val="11"/>
      <x:color rgb="FF18332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329"/>
      </x:patternFill>
    </x:fill>
    <x:fill>
      <x:patternFill patternType="solid">
        <x:fgColor rgb="FFFFF4D6"/>
      </x:patternFill>
    </x:fill>
    <x:fill>
      <x:patternFill patternType="solid">
        <x:fgColor rgb="FFE4EC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8" fillId="3" borderId="0" xfId="0" applyNumberFormat="1" applyFont="1" applyFill="1" applyBorder="1"/>
    <x:xf numFmtId="200" fontId="8" fillId="3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0" fontId="8" fillId="3" borderId="0" xfId="0" applyNumberFormat="1" applyFont="1" applyFill="1" applyBorder="1" applyAlignment="1">
      <x:alignment horizontal="right"/>
    </x:xf>
    <x:xf numFmtId="200" fontId="2" fillId="0" borderId="0" xfId="0" applyNumberFormat="1" applyFont="1" applyFill="1" applyBorder="1" applyAlignment="1">
      <x:alignment horizontal="right"/>
    </x:xf>
    <x:xf numFmtId="201" fontId="2" fillId="0" borderId="0" xfId="0" applyNumberFormat="1" applyFont="1" applyFill="1" applyBorder="1" applyAlignment="1">
      <x:alignment horizontal="right"/>
    </x:xf>
    <x:xf numFmtId="0" fontId="2" fillId="0" borderId="0" xfId="0" applyNumberFormat="1" applyFont="1" applyFill="1" applyBorder="1" applyAlignment="1">
      <x:alignment horizontal="right"/>
    </x:xf>
    <x:xf numFmtId="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horizontal="right"/>
    </x:xf>
    <x:xf numFmtId="201" fontId="2" fillId="4" borderId="0" xfId="0" applyNumberFormat="1" applyFont="1" applyFill="1" applyBorder="1" applyAlignment="1">
      <x:alignment horizontal="right"/>
    </x:xf>
    <x:xf numFmtId="0" fontId="9" fillId="4" borderId="0" xfId="0" applyNumberFormat="1" applyFont="1" applyFill="1" applyBorder="1"/>
    <x:xf numFmtId="200" fontId="9" fillId="4" borderId="0" xfId="0" applyNumberFormat="1" applyFont="1" applyFill="1" applyBorder="1" applyAlignment="1">
      <x:alignment horizontal="right"/>
    </x:xf>
    <x:xf numFmtId="201" fontId="9" fillId="4" borderId="0" xfId="0" applyNumberFormat="1" applyFont="1" applyFill="1" applyBorder="1" applyAlignment="1">
      <x:alignment horizontal="right"/>
    </x:xf>
    <x:xf numFmtId="201" fontId="5" fillId="0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2">
    <x:dxf>
      <x:font>
        <x:b/>
        <x:color rgb="FFA02C2C"/>
      </x:font>
    </x:dxf>
    <x:dxf>
      <x:font>
        <x:b/>
        <x:color rgb="FF23623A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a2dbec1a24941" /><Relationship Type="http://schemas.openxmlformats.org/officeDocument/2006/relationships/theme" Target="/xl/theme/theme1.xml" Id="Rcef8f815a96a4a38" /><Relationship Type="http://schemas.openxmlformats.org/officeDocument/2006/relationships/sharedStrings" Target="/xl/sharedStrings.xml" Id="R1581d4e6fd1e4dd7" /><Relationship Type="http://schemas.openxmlformats.org/officeDocument/2006/relationships/worksheet" Target="/xl/worksheets/sheet1.xml" Id="R3bc39527cdb74a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3dcacbd49147b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Revenue and expenses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Budget</c:v>
          </c:tx>
          <c:spPr>
            <a:solidFill xmlns:a="http://schemas.openxmlformats.org/drawingml/2006/main">
              <a:srgbClr val="819575"/>
            </a:solidFill>
          </c:spPr>
          <c:invertIfNegative val="0"/>
          <c:cat>
            <c:strRef>
              <c:f>'Budget vs Actual'!$A$8:$A$11</c:f>
              <c:strCache>
                <c:ptCount val="0"/>
              </c:strCache>
            </c:strRef>
          </c:cat>
          <c:val>
            <c:numRef>
              <c:f>'Budget vs Actual'!$B$8:$B$11</c:f>
              <c:numCache>
                <c:formatCode>$#,##0;($#,##0);"–"</c:formatCode>
                <c:ptCount val="0"/>
              </c:numCache>
            </c:numRef>
          </c:val>
        </c:ser>
        <c:ser>
          <c:idx val="1"/>
          <c:order val="1"/>
          <c:tx>
            <c:v>Actual</c:v>
          </c:tx>
          <c:spPr>
            <a:solidFill xmlns:a="http://schemas.openxmlformats.org/drawingml/2006/main">
              <a:srgbClr val="183329"/>
            </a:solidFill>
          </c:spPr>
          <c:invertIfNegative val="0"/>
          <c:cat>
            <c:strRef>
              <c:f>'Budget vs Actual'!$A$8:$A$11</c:f>
              <c:strCache>
                <c:ptCount val="0"/>
              </c:strCache>
            </c:strRef>
          </c:cat>
          <c:val>
            <c:numRef>
              <c:f>'Budget vs Actual'!$C$8:$C$11</c:f>
              <c:numCache>
                <c:formatCode>$#,##0;($#,##0);"–"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7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3dcacbd49147b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22a12a4ca9d4695" /></Relationships>
</file>

<file path=xl/worksheets/sheet1.xml><?xml version="1.0" encoding="utf-8"?>
<x:worksheet xmlns:x="http://schemas.openxmlformats.org/spreadsheetml/2006/main">
  <x:sheetPr>
    <x:tabColor rgb="FF183329"/>
  </x:sheetPr>
  <x:sheetViews>
    <x:sheetView showGridLines="0" workbookViewId="0"/>
  </x:sheetViews>
  <x:sheetFormatPr defaultRowHeight="15"/>
  <x:cols>
    <x:col min="1" max="1" width="28.889999389648438" hidden="0" customWidth="1"/>
    <x:col min="2" max="2" width="12.779999732971191" hidden="0" customWidth="1"/>
    <x:col min="3" max="3" width="12.779999732971191" hidden="0" customWidth="1"/>
    <x:col min="4" max="4" width="13.329999923706055" hidden="0" customWidth="1"/>
    <x:col min="5" max="5" width="12.220000267028809" hidden="0" customWidth="1"/>
    <x:col min="6" max="6" width="15.5600004196167" hidden="0" customWidth="1"/>
  </x:cols>
  <x:sheetData>
    <x:row r="1" ht="25" customHeight="1">
      <x:c r="A1" s="2"/>
      <x:c r="B1" s="2"/>
      <x:c r="C1" s="2"/>
      <x:c r="D1" s="2"/>
      <x:c r="E1" s="2"/>
      <x:c r="F1" s="2"/>
    </x:row>
    <x:row r="2" ht="25" customHeight="1">
      <x:c r="A2" s="4" t="str">
        <x:v>Budget versus actual analysis</x:v>
      </x:c>
      <x:c r="B2" s="2"/>
      <x:c r="C2" s="2"/>
      <x:c r="D2" s="2"/>
      <x:c r="E2" s="2"/>
      <x:c r="F2" s="2"/>
    </x:row>
    <x:row r="3" ht="25" customHeight="1">
      <x:c r="A3" s="2" t="str">
        <x:v>Vannetta Haney | Monthly FP&amp;A portfolio sample | USD</x:v>
      </x:c>
      <x:c r="B3" s="2"/>
      <x:c r="C3" s="2"/>
      <x:c r="D3" s="2"/>
      <x:c r="E3" s="2"/>
      <x:c r="F3" s="2"/>
    </x:row>
    <x:row r="4" ht="25" customHeight="1">
      <x:c r="A4" s="2"/>
      <x:c r="B4" s="2"/>
      <x:c r="C4" s="2"/>
      <x:c r="D4" s="2"/>
      <x:c r="E4" s="2"/>
      <x:c r="F4" s="2"/>
    </x:row>
    <x:row r="5" ht="25" customHeight="1">
      <x:c r="A5" s="5" t="str">
        <x:v>Simulated data. Blue cells are editable inputs; calculated results update automatically.</x:v>
      </x:c>
      <x:c r="B5" s="2"/>
      <x:c r="C5" s="2"/>
      <x:c r="D5" s="2"/>
      <x:c r="E5" s="2"/>
      <x:c r="F5" s="2"/>
    </x:row>
    <x:row r="6" ht="25" customHeight="1">
      <x:c r="A6" s="2"/>
      <x:c r="B6" s="2"/>
      <x:c r="C6" s="2"/>
      <x:c r="D6" s="2"/>
      <x:c r="E6" s="2"/>
      <x:c r="F6" s="2"/>
    </x:row>
    <x:row r="7" ht="25" customHeight="1">
      <x:c r="A7" s="9" t="str">
        <x:v>Category</x:v>
      </x:c>
      <x:c r="B7" s="9" t="str">
        <x:v>Budget</x:v>
      </x:c>
      <x:c r="C7" s="9" t="str">
        <x:v>Actual</x:v>
      </x:c>
      <x:c r="D7" s="9" t="str">
        <x:v>Variance ($)</x:v>
      </x:c>
      <x:c r="E7" s="9" t="str">
        <x:v>Variance (%)</x:v>
      </x:c>
      <x:c r="F7" s="9" t="str">
        <x:v>Assessment</x:v>
      </x:c>
    </x:row>
    <x:row r="8" ht="25" customHeight="1">
      <x:c r="A8" s="2" t="str">
        <x:v>Revenue</x:v>
      </x:c>
      <x:c r="B8" s="15" t="n">
        <x:v>100000</x:v>
      </x:c>
      <x:c r="C8" s="15" t="n">
        <x:v>95000</x:v>
      </x:c>
      <x:c r="D8" s="16" t="n">
        <x:f>C8-B8</x:f>
        <x:v>-5000</x:v>
      </x:c>
      <x:c r="E8" s="17" t="n">
        <x:f>IF(B8=0,"n.a.",D8/B8)</x:f>
        <x:v>-0.05</x:v>
      </x:c>
      <x:c r="F8" s="2" t="str">
        <x:f>IF(D8=0,"On budget",IF(D8&gt;0,"Favorable","Unfavorable"))</x:f>
        <x:v>Unfavorable</x:v>
      </x:c>
    </x:row>
    <x:row r="9" ht="25" customHeight="1">
      <x:c r="A9" s="2" t="str">
        <x:v>Payroll</x:v>
      </x:c>
      <x:c r="B9" s="15" t="n">
        <x:v>40000</x:v>
      </x:c>
      <x:c r="C9" s="15" t="n">
        <x:v>43000</x:v>
      </x:c>
      <x:c r="D9" s="16" t="n">
        <x:f>C9-B9</x:f>
        <x:v>3000</x:v>
      </x:c>
      <x:c r="E9" s="17" t="n">
        <x:f>IF(B9=0,"n.a.",D9/B9)</x:f>
        <x:v>0.075</x:v>
      </x:c>
      <x:c r="F9" s="2" t="str">
        <x:f>IF(D9=0,"On budget",IF(D9&lt;0,"Favorable","Unfavorable"))</x:f>
        <x:v>Unfavorable</x:v>
      </x:c>
    </x:row>
    <x:row r="10" ht="25" customHeight="1">
      <x:c r="A10" s="2" t="str">
        <x:v>Supplies</x:v>
      </x:c>
      <x:c r="B10" s="15" t="n">
        <x:v>15000</x:v>
      </x:c>
      <x:c r="C10" s="15" t="n">
        <x:v>18000</x:v>
      </x:c>
      <x:c r="D10" s="16" t="n">
        <x:f>C10-B10</x:f>
        <x:v>3000</x:v>
      </x:c>
      <x:c r="E10" s="17" t="n">
        <x:f>IF(B10=0,"n.a.",D10/B10)</x:f>
        <x:v>0.2</x:v>
      </x:c>
      <x:c r="F10" s="2" t="str">
        <x:f>IF(D10=0,"On budget",IF(D10&lt;0,"Favorable","Unfavorable"))</x:f>
        <x:v>Unfavorable</x:v>
      </x:c>
    </x:row>
    <x:row r="11" ht="25" customHeight="1">
      <x:c r="A11" s="2" t="str">
        <x:v>Rent</x:v>
      </x:c>
      <x:c r="B11" s="15" t="n">
        <x:v>10000</x:v>
      </x:c>
      <x:c r="C11" s="15" t="n">
        <x:v>10000</x:v>
      </x:c>
      <x:c r="D11" s="16" t="n">
        <x:f>C11-B11</x:f>
        <x:v>0</x:v>
      </x:c>
      <x:c r="E11" s="17" t="n">
        <x:f>IF(B11=0,"n.a.",D11/B11)</x:f>
        <x:v>0</x:v>
      </x:c>
      <x:c r="F11" s="2" t="str">
        <x:f>IF(D11=0,"On budget",IF(D11&lt;0,"Favorable","Unfavorable"))</x:f>
        <x:v>On budget</x:v>
      </x:c>
    </x:row>
    <x:row r="12" ht="25" customHeight="1">
      <x:c r="A12" s="22" t="str">
        <x:v>Total operating expenses</x:v>
      </x:c>
      <x:c r="B12" s="23" t="n">
        <x:f>SUM(B9:B11)</x:f>
        <x:v>65000</x:v>
      </x:c>
      <x:c r="C12" s="23" t="n">
        <x:f>SUM(C9:C11)</x:f>
        <x:v>71000</x:v>
      </x:c>
      <x:c r="D12" s="23" t="n">
        <x:f>C12-B12</x:f>
        <x:v>6000</x:v>
      </x:c>
      <x:c r="E12" s="24" t="n">
        <x:f>IF(B12=0,"n.a.",D12/B12)</x:f>
        <x:v>0.09230769230769231</x:v>
      </x:c>
      <x:c r="F12" s="22" t="str">
        <x:f>IF(D12=0,"On budget",IF(D12&lt;0,"Favorable","Unfavorable"))</x:f>
        <x:v>Unfavorable</x:v>
      </x:c>
    </x:row>
    <x:row r="13" ht="25" customHeight="1">
      <x:c r="A13" s="22" t="str">
        <x:v>Operating profit</x:v>
      </x:c>
      <x:c r="B13" s="23" t="n">
        <x:f>B8-B12</x:f>
        <x:v>35000</x:v>
      </x:c>
      <x:c r="C13" s="23" t="n">
        <x:f>C8-C12</x:f>
        <x:v>24000</x:v>
      </x:c>
      <x:c r="D13" s="23" t="n">
        <x:f>C13-B13</x:f>
        <x:v>-11000</x:v>
      </x:c>
      <x:c r="E13" s="24" t="n">
        <x:f>IF(B13=0,"n.a.",D13/B13)</x:f>
        <x:v>-0.3142857142857143</x:v>
      </x:c>
      <x:c r="F13" s="22" t="str">
        <x:f>IF(D13=0,"On budget",IF(D13&gt;0,"Favorable","Unfavorable"))</x:f>
        <x:v>Unfavorable</x:v>
      </x:c>
    </x:row>
    <x:row r="14" ht="25" customHeight="1">
      <x:c r="A14" s="5" t="str">
        <x:v>Operating margin</x:v>
      </x:c>
      <x:c r="B14" s="25" t="n">
        <x:f>IF(B8=0,"n.a.",B13/B8)</x:f>
        <x:v>0.35</x:v>
      </x:c>
      <x:c r="C14" s="25" t="n">
        <x:f>IF(C8=0,"n.a.",C13/C8)</x:f>
        <x:v>0.25263157894736843</x:v>
      </x:c>
      <x:c r="D14" s="25" t="n">
        <x:f>IF(OR(B8=0,C8=0),"n.a.",C14-B14)</x:f>
        <x:v>-0.09736842105263155</x:v>
      </x:c>
      <x:c r="E14" s="26"/>
      <x:c r="F14" s="5" t="str">
        <x:v>Margin change (pp)</x:v>
      </x:c>
    </x:row>
    <x:row r="15" ht="25" customHeight="1">
      <x:c r="A15" s="2"/>
      <x:c r="B15" s="2"/>
      <x:c r="C15" s="2"/>
      <x:c r="D15" s="2"/>
      <x:c r="E15" s="2"/>
      <x:c r="F15" s="2"/>
    </x:row>
    <x:row r="16" ht="25" customHeight="1">
      <x:c r="A16" s="2"/>
      <x:c r="B16" s="2"/>
      <x:c r="C16" s="2"/>
      <x:c r="D16" s="2"/>
      <x:c r="E16" s="2"/>
      <x:c r="F16" s="2"/>
    </x:row>
    <x:row r="17" ht="25" customHeight="1">
      <x:c r="A17" s="2"/>
      <x:c r="B17" s="2"/>
      <x:c r="C17" s="2"/>
      <x:c r="D17" s="2"/>
      <x:c r="E17" s="2"/>
      <x:c r="F17" s="2"/>
    </x:row>
    <x:row r="18" ht="25" customHeight="1">
      <x:c r="A18" s="2"/>
      <x:c r="B18" s="2"/>
      <x:c r="C18" s="2"/>
      <x:c r="D18" s="2"/>
      <x:c r="E18" s="2"/>
      <x:c r="F18" s="2"/>
    </x:row>
    <x:row r="19" ht="25" customHeight="1">
      <x:c r="A19" s="2"/>
      <x:c r="B19" s="2"/>
      <x:c r="C19" s="2"/>
      <x:c r="D19" s="2"/>
      <x:c r="E19" s="2"/>
      <x:c r="F19" s="2"/>
    </x:row>
    <x:row r="20" ht="25" customHeight="1">
      <x:c r="A20" s="2"/>
      <x:c r="B20" s="2"/>
      <x:c r="C20" s="2"/>
      <x:c r="D20" s="2"/>
      <x:c r="E20" s="2"/>
      <x:c r="F20" s="2"/>
    </x:row>
    <x:row r="21" ht="25" customHeight="1">
      <x:c r="A21" s="2"/>
      <x:c r="B21" s="2"/>
      <x:c r="C21" s="2"/>
      <x:c r="D21" s="2"/>
      <x:c r="E21" s="2"/>
      <x:c r="F21" s="2"/>
    </x:row>
    <x:row r="22" ht="25" customHeight="1">
      <x:c r="A22" s="2"/>
      <x:c r="B22" s="2"/>
      <x:c r="C22" s="2"/>
      <x:c r="D22" s="2"/>
      <x:c r="E22" s="2"/>
      <x:c r="F22" s="2"/>
    </x:row>
    <x:row r="23" ht="25" customHeight="1">
      <x:c r="A23" s="2"/>
      <x:c r="B23" s="2"/>
      <x:c r="C23" s="2"/>
      <x:c r="D23" s="2"/>
      <x:c r="E23" s="2"/>
      <x:c r="F23" s="2"/>
    </x:row>
    <x:row r="24" ht="25" customHeight="1">
      <x:c r="A24" s="2"/>
      <x:c r="B24" s="2"/>
      <x:c r="C24" s="2"/>
      <x:c r="D24" s="2"/>
      <x:c r="E24" s="2"/>
      <x:c r="F24" s="2"/>
    </x:row>
    <x:row r="25" ht="25" customHeight="1">
      <x:c r="A25" s="2"/>
      <x:c r="B25" s="2"/>
      <x:c r="C25" s="2"/>
      <x:c r="D25" s="2"/>
      <x:c r="E25" s="2"/>
      <x:c r="F25" s="2"/>
    </x:row>
    <x:row r="26" ht="25" customHeight="1">
      <x:c r="A26" s="2"/>
      <x:c r="B26" s="2"/>
      <x:c r="C26" s="2"/>
      <x:c r="D26" s="2"/>
      <x:c r="E26" s="2"/>
      <x:c r="F26" s="2"/>
    </x:row>
    <x:row r="27" ht="25" customHeight="1">
      <x:c r="A27" s="2"/>
      <x:c r="B27" s="2"/>
      <x:c r="C27" s="2"/>
      <x:c r="D27" s="2"/>
      <x:c r="E27" s="2"/>
      <x:c r="F27" s="2"/>
    </x:row>
    <x:row r="28" ht="25" customHeight="1">
      <x:c r="A28" s="2"/>
      <x:c r="B28" s="2"/>
      <x:c r="C28" s="2"/>
      <x:c r="D28" s="2"/>
      <x:c r="E28" s="2"/>
      <x:c r="F28" s="2"/>
    </x:row>
    <x:row r="29" ht="25" customHeight="1">
      <x:c r="A29" s="2"/>
      <x:c r="B29" s="2"/>
      <x:c r="C29" s="2"/>
      <x:c r="D29" s="2"/>
      <x:c r="E29" s="2"/>
      <x:c r="F29" s="2"/>
    </x:row>
    <x:row r="30" ht="25" customHeight="1">
      <x:c r="A30" s="2"/>
      <x:c r="B30" s="2"/>
      <x:c r="C30" s="2"/>
      <x:c r="D30" s="2"/>
      <x:c r="E30" s="2"/>
      <x:c r="F30" s="2"/>
    </x:row>
    <x:row r="31" ht="25" customHeight="1">
      <x:c r="A31" s="2"/>
      <x:c r="B31" s="2"/>
      <x:c r="C31" s="2"/>
      <x:c r="D31" s="2"/>
      <x:c r="E31" s="2"/>
      <x:c r="F31" s="2"/>
    </x:row>
    <x:row r="32" ht="25" customHeight="1">
      <x:c r="A32" s="2" t="str">
        <x:v>Method: variance = actual − budget. Expenses above budget are unfavorable.</x:v>
      </x:c>
      <x:c r="B32" s="2"/>
      <x:c r="C32" s="2"/>
      <x:c r="D32" s="2"/>
      <x:c r="E32" s="2"/>
      <x:c r="F32" s="2"/>
    </x:row>
    <x:row r="33" ht="25" customHeight="1">
      <x:c r="A33" s="2" t="str">
        <x:v>Variance % = variance ÷ budget. Margin change is shown in percentage points (pp).</x:v>
      </x:c>
      <x:c r="B33" s="2"/>
      <x:c r="C33" s="2"/>
      <x:c r="D33" s="2"/>
      <x:c r="E33" s="2"/>
      <x:c r="F33" s="2"/>
    </x:row>
    <x:row r="34" ht="25" customHeight="1">
      <x:c r="A34" s="2" t="str">
        <x:v>Source: illustrative practice dataset supplied in conversation; no employer or client records.</x:v>
      </x:c>
      <x:c r="B34" s="2"/>
      <x:c r="C34" s="2"/>
      <x:c r="D34" s="2"/>
      <x:c r="E34" s="2"/>
      <x:c r="F34" s="2"/>
    </x:row>
    <x:row r="35" ht="25" customHeight="1">
      <x:c r="A35" s="2" t="str">
        <x:v>Follow-up: reconcile revenue detail and compare payroll hours/rates and supply quantities/prices.</x:v>
      </x:c>
      <x:c r="B35" s="2"/>
      <x:c r="C35" s="2"/>
      <x:c r="D35" s="2"/>
      <x:c r="E35" s="2"/>
      <x:c r="F35" s="2"/>
    </x:row>
    <x:row r="36" ht="25" customHeight="1">
      <x:c r="A36" s="2" t="str">
        <x:v>Scope: payroll, supplies, and rent are assumed to be all operating expenses.</x:v>
      </x:c>
      <x:c r="B36" s="2"/>
      <x:c r="C36" s="2"/>
      <x:c r="D36" s="2"/>
      <x:c r="E36" s="2"/>
      <x:c r="F36" s="2"/>
    </x:row>
  </x:sheetData>
  <x:conditionalFormatting sqref="F8:F13">
    <x:cfRule type="containsText" dxfId="0" priority="1" operator="containsText" text="Unfavorable"/>
    <x:cfRule type="containsText" dxfId="1" priority="2" operator="containsText" text="Favorable"/>
  </x:conditionalFormatting>
  <x:pageMargins left="0.7" right="0.7" top="0.75" bottom="0.75" header="0.3" footer="0.3"/>
  <x:drawing xmlns:r="http://schemas.openxmlformats.org/officeDocument/2006/relationships" r:id="Rb22a12a4ca9d4695"/>
</x:worksheet>
</file>